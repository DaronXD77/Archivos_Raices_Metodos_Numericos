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on\Desktop\"/>
    </mc:Choice>
  </mc:AlternateContent>
  <xr:revisionPtr revIDLastSave="0" documentId="8_{E2CC7328-B8E9-42F3-BE27-7E04D08E5FCD}" xr6:coauthVersionLast="47" xr6:coauthVersionMax="47" xr10:uidLastSave="{00000000-0000-0000-0000-000000000000}"/>
  <bookViews>
    <workbookView xWindow="-108" yWindow="-108" windowWidth="23256" windowHeight="12456" activeTab="2" xr2:uid="{38FBF2DC-3035-46EE-B552-7207111D2D78}"/>
  </bookViews>
  <sheets>
    <sheet name="Biseccion" sheetId="1" r:id="rId1"/>
    <sheet name="Newton Raphson" sheetId="2" r:id="rId2"/>
    <sheet name="Secan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2" i="3" l="1"/>
  <c r="G101" i="3"/>
  <c r="C79" i="1"/>
  <c r="C78" i="1"/>
  <c r="C77" i="1"/>
  <c r="C76" i="1"/>
  <c r="C75" i="1"/>
  <c r="C74" i="1"/>
  <c r="C73" i="1"/>
  <c r="K64" i="2"/>
  <c r="K63" i="2"/>
  <c r="K62" i="2"/>
  <c r="K61" i="2"/>
  <c r="K60" i="2"/>
  <c r="K59" i="2"/>
  <c r="K58" i="2"/>
  <c r="G83" i="3"/>
  <c r="G82" i="3"/>
  <c r="G75" i="3"/>
  <c r="G74" i="3"/>
  <c r="G64" i="3"/>
  <c r="G63" i="3"/>
  <c r="C69" i="3"/>
  <c r="C68" i="3"/>
  <c r="C67" i="3"/>
  <c r="C66" i="3"/>
  <c r="C65" i="3"/>
  <c r="C64" i="3"/>
  <c r="C63" i="3"/>
  <c r="G41" i="3"/>
  <c r="G40" i="3"/>
  <c r="C50" i="3"/>
  <c r="C49" i="3"/>
  <c r="C48" i="3"/>
  <c r="C47" i="3"/>
  <c r="C46" i="3"/>
  <c r="C45" i="3"/>
  <c r="C44" i="3"/>
  <c r="C43" i="3"/>
  <c r="C42" i="3"/>
  <c r="C41" i="3"/>
  <c r="C40" i="3"/>
  <c r="K45" i="2"/>
  <c r="K44" i="2"/>
  <c r="K43" i="2"/>
  <c r="K42" i="2"/>
  <c r="K41" i="2"/>
  <c r="K40" i="2"/>
  <c r="K39" i="2"/>
  <c r="K38" i="2"/>
  <c r="K37" i="2"/>
  <c r="K36" i="2"/>
  <c r="K35" i="2"/>
  <c r="G21" i="3"/>
  <c r="G20" i="3"/>
  <c r="G11" i="3"/>
  <c r="G10" i="3"/>
  <c r="C18" i="3"/>
  <c r="C17" i="3"/>
  <c r="C16" i="3"/>
  <c r="C15" i="3"/>
  <c r="C14" i="3"/>
  <c r="C13" i="3"/>
  <c r="C12" i="3"/>
  <c r="C11" i="3"/>
  <c r="C10" i="3"/>
  <c r="L11" i="2"/>
  <c r="L10" i="2"/>
  <c r="L9" i="2"/>
  <c r="L8" i="2"/>
  <c r="L7" i="2"/>
  <c r="L6" i="2"/>
  <c r="L5" i="2"/>
  <c r="L4" i="2"/>
  <c r="L3" i="2"/>
  <c r="C109" i="3"/>
  <c r="C108" i="3"/>
  <c r="C107" i="3"/>
  <c r="C106" i="3"/>
  <c r="C105" i="3"/>
  <c r="C104" i="3"/>
  <c r="C103" i="3"/>
  <c r="C102" i="3"/>
  <c r="C101" i="3"/>
  <c r="F102" i="2"/>
  <c r="E102" i="2"/>
  <c r="D103" i="2" s="1"/>
  <c r="E103" i="2" s="1"/>
  <c r="F82" i="2"/>
  <c r="E82" i="2"/>
  <c r="D83" i="2" s="1"/>
  <c r="F75" i="2"/>
  <c r="F66" i="2"/>
  <c r="E66" i="2"/>
  <c r="F43" i="2"/>
  <c r="E43" i="2"/>
  <c r="E16" i="2"/>
  <c r="L16" i="2"/>
  <c r="M16" i="2"/>
  <c r="F16" i="2"/>
  <c r="G122" i="1"/>
  <c r="J122" i="1" s="1"/>
  <c r="F122" i="1"/>
  <c r="I122" i="1" s="1"/>
  <c r="H122" i="1"/>
  <c r="K122" i="1" s="1"/>
  <c r="J121" i="1"/>
  <c r="I121" i="1"/>
  <c r="H121" i="1"/>
  <c r="K121" i="1" s="1"/>
  <c r="C122" i="1"/>
  <c r="C123" i="1"/>
  <c r="C124" i="1"/>
  <c r="C125" i="1"/>
  <c r="C126" i="1"/>
  <c r="C127" i="1"/>
  <c r="C128" i="1"/>
  <c r="C129" i="1"/>
  <c r="C121" i="1"/>
  <c r="F89" i="1"/>
  <c r="G100" i="1"/>
  <c r="J100" i="1" s="1"/>
  <c r="J99" i="1"/>
  <c r="I99" i="1"/>
  <c r="H99" i="1"/>
  <c r="F100" i="1" s="1"/>
  <c r="J88" i="1"/>
  <c r="I88" i="1"/>
  <c r="H88" i="1"/>
  <c r="G89" i="1" s="1"/>
  <c r="G90" i="1" s="1"/>
  <c r="G74" i="1"/>
  <c r="J74" i="1" s="1"/>
  <c r="J73" i="1"/>
  <c r="I73" i="1"/>
  <c r="H73" i="1"/>
  <c r="K73" i="1" s="1"/>
  <c r="G52" i="1"/>
  <c r="J52" i="1" s="1"/>
  <c r="J51" i="1"/>
  <c r="I51" i="1"/>
  <c r="H51" i="1"/>
  <c r="F52" i="1" s="1"/>
  <c r="F53" i="1" s="1"/>
  <c r="I53" i="1" s="1"/>
  <c r="C52" i="1"/>
  <c r="C53" i="1"/>
  <c r="C54" i="1"/>
  <c r="C55" i="1"/>
  <c r="C56" i="1"/>
  <c r="C57" i="1"/>
  <c r="C58" i="1"/>
  <c r="C59" i="1"/>
  <c r="C60" i="1"/>
  <c r="C61" i="1"/>
  <c r="C51" i="1"/>
  <c r="H11" i="1"/>
  <c r="G12" i="1" s="1"/>
  <c r="J12" i="1" s="1"/>
  <c r="F27" i="1"/>
  <c r="I27" i="1" s="1"/>
  <c r="J26" i="1"/>
  <c r="I26" i="1"/>
  <c r="H26" i="1"/>
  <c r="G27" i="1" s="1"/>
  <c r="J27" i="1" s="1"/>
  <c r="F12" i="1"/>
  <c r="F13" i="1" s="1"/>
  <c r="J11" i="1"/>
  <c r="I11" i="1"/>
  <c r="C12" i="1"/>
  <c r="C13" i="1"/>
  <c r="C14" i="1"/>
  <c r="C15" i="1"/>
  <c r="C16" i="1"/>
  <c r="C17" i="1"/>
  <c r="C18" i="1"/>
  <c r="C19" i="1"/>
  <c r="C11" i="1"/>
  <c r="F103" i="3" l="1"/>
  <c r="G103" i="3" s="1"/>
  <c r="F104" i="3" s="1"/>
  <c r="G104" i="3" s="1"/>
  <c r="F84" i="3"/>
  <c r="G84" i="3" s="1"/>
  <c r="F85" i="3" s="1"/>
  <c r="F76" i="3"/>
  <c r="G76" i="3" s="1"/>
  <c r="F77" i="3" s="1"/>
  <c r="F65" i="3"/>
  <c r="G65" i="3" s="1"/>
  <c r="F42" i="3"/>
  <c r="F22" i="3"/>
  <c r="G22" i="3" s="1"/>
  <c r="F12" i="3"/>
  <c r="G12" i="3" s="1"/>
  <c r="F103" i="2"/>
  <c r="F83" i="2"/>
  <c r="E83" i="2"/>
  <c r="D84" i="2" s="1"/>
  <c r="E75" i="2"/>
  <c r="D76" i="2" s="1"/>
  <c r="F76" i="2" s="1"/>
  <c r="D67" i="2"/>
  <c r="D44" i="2"/>
  <c r="E44" i="2" s="1"/>
  <c r="D17" i="2"/>
  <c r="E17" i="2" s="1"/>
  <c r="K17" i="2"/>
  <c r="L17" i="2" s="1"/>
  <c r="F123" i="1"/>
  <c r="G123" i="1"/>
  <c r="J89" i="1"/>
  <c r="G101" i="1"/>
  <c r="J101" i="1" s="1"/>
  <c r="J90" i="1"/>
  <c r="I100" i="1"/>
  <c r="H100" i="1"/>
  <c r="K99" i="1"/>
  <c r="I89" i="1"/>
  <c r="H89" i="1"/>
  <c r="F90" i="1" s="1"/>
  <c r="F91" i="1" s="1"/>
  <c r="K88" i="1"/>
  <c r="G75" i="1"/>
  <c r="K51" i="1"/>
  <c r="F74" i="1"/>
  <c r="I52" i="1"/>
  <c r="H52" i="1"/>
  <c r="G28" i="1"/>
  <c r="K11" i="1"/>
  <c r="H12" i="1"/>
  <c r="K26" i="1"/>
  <c r="H27" i="1"/>
  <c r="F28" i="1" s="1"/>
  <c r="I28" i="1" s="1"/>
  <c r="I12" i="1"/>
  <c r="I13" i="1"/>
  <c r="F105" i="3" l="1"/>
  <c r="G105" i="3" s="1"/>
  <c r="G85" i="3"/>
  <c r="F86" i="3" s="1"/>
  <c r="F66" i="3"/>
  <c r="G66" i="3" s="1"/>
  <c r="G77" i="3"/>
  <c r="F78" i="3" s="1"/>
  <c r="F67" i="3"/>
  <c r="G42" i="3"/>
  <c r="F43" i="3" s="1"/>
  <c r="F13" i="3"/>
  <c r="G13" i="3" s="1"/>
  <c r="F14" i="3" s="1"/>
  <c r="G14" i="3" s="1"/>
  <c r="F23" i="3"/>
  <c r="G23" i="3" s="1"/>
  <c r="D104" i="2"/>
  <c r="F17" i="2"/>
  <c r="D18" i="2" s="1"/>
  <c r="F84" i="2"/>
  <c r="E84" i="2"/>
  <c r="D85" i="2" s="1"/>
  <c r="E76" i="2"/>
  <c r="D77" i="2" s="1"/>
  <c r="E67" i="2"/>
  <c r="F67" i="2"/>
  <c r="F44" i="2"/>
  <c r="D45" i="2"/>
  <c r="M17" i="2"/>
  <c r="K18" i="2" s="1"/>
  <c r="J123" i="1"/>
  <c r="G124" i="1"/>
  <c r="G125" i="1" s="1"/>
  <c r="G126" i="1" s="1"/>
  <c r="K100" i="1"/>
  <c r="F101" i="1"/>
  <c r="K89" i="1"/>
  <c r="H74" i="1"/>
  <c r="I74" i="1"/>
  <c r="G53" i="1"/>
  <c r="G54" i="1" s="1"/>
  <c r="K52" i="1"/>
  <c r="K12" i="1"/>
  <c r="G13" i="1"/>
  <c r="H13" i="1" s="1"/>
  <c r="K27" i="1"/>
  <c r="F106" i="3" l="1"/>
  <c r="G106" i="3" s="1"/>
  <c r="G86" i="3"/>
  <c r="F87" i="3" s="1"/>
  <c r="G78" i="3"/>
  <c r="G67" i="3"/>
  <c r="F68" i="3" s="1"/>
  <c r="G68" i="3" s="1"/>
  <c r="F69" i="3" s="1"/>
  <c r="G43" i="3"/>
  <c r="F44" i="3" s="1"/>
  <c r="F24" i="3"/>
  <c r="G24" i="3" s="1"/>
  <c r="F25" i="3" s="1"/>
  <c r="G25" i="3" s="1"/>
  <c r="F15" i="3"/>
  <c r="G15" i="3" s="1"/>
  <c r="F104" i="2"/>
  <c r="E104" i="2"/>
  <c r="D105" i="2" s="1"/>
  <c r="F18" i="2"/>
  <c r="E18" i="2"/>
  <c r="D19" i="2" s="1"/>
  <c r="E19" i="2" s="1"/>
  <c r="F85" i="2"/>
  <c r="E85" i="2"/>
  <c r="F77" i="2"/>
  <c r="E77" i="2"/>
  <c r="D78" i="2" s="1"/>
  <c r="E78" i="2" s="1"/>
  <c r="D68" i="2"/>
  <c r="E45" i="2"/>
  <c r="F45" i="2"/>
  <c r="M18" i="2"/>
  <c r="L18" i="2"/>
  <c r="H123" i="1"/>
  <c r="I123" i="1"/>
  <c r="F102" i="1"/>
  <c r="I101" i="1"/>
  <c r="H101" i="1"/>
  <c r="I90" i="1"/>
  <c r="H90" i="1"/>
  <c r="K74" i="1"/>
  <c r="F75" i="1"/>
  <c r="H75" i="1" s="1"/>
  <c r="K75" i="1" s="1"/>
  <c r="J75" i="1"/>
  <c r="J53" i="1"/>
  <c r="H53" i="1"/>
  <c r="J54" i="1"/>
  <c r="K13" i="1"/>
  <c r="F14" i="1"/>
  <c r="I14" i="1" s="1"/>
  <c r="G14" i="1"/>
  <c r="J13" i="1"/>
  <c r="G29" i="1"/>
  <c r="J28" i="1"/>
  <c r="H28" i="1"/>
  <c r="G87" i="3" l="1"/>
  <c r="F88" i="3" s="1"/>
  <c r="G69" i="3"/>
  <c r="F70" i="3" s="1"/>
  <c r="G70" i="3" s="1"/>
  <c r="G44" i="3"/>
  <c r="F26" i="3"/>
  <c r="F16" i="3"/>
  <c r="G16" i="3" s="1"/>
  <c r="F105" i="2"/>
  <c r="E105" i="2"/>
  <c r="F78" i="2"/>
  <c r="K19" i="2"/>
  <c r="M19" i="2" s="1"/>
  <c r="E68" i="2"/>
  <c r="F68" i="2"/>
  <c r="D46" i="2"/>
  <c r="F46" i="2" s="1"/>
  <c r="F19" i="2"/>
  <c r="D20" i="2" s="1"/>
  <c r="K123" i="1"/>
  <c r="F124" i="1"/>
  <c r="I124" i="1" s="1"/>
  <c r="J124" i="1"/>
  <c r="K101" i="1"/>
  <c r="G102" i="1"/>
  <c r="J102" i="1"/>
  <c r="K90" i="1"/>
  <c r="G91" i="1"/>
  <c r="H91" i="1" s="1"/>
  <c r="F92" i="1" s="1"/>
  <c r="I102" i="1"/>
  <c r="H102" i="1"/>
  <c r="F103" i="1"/>
  <c r="I91" i="1"/>
  <c r="I75" i="1"/>
  <c r="G76" i="1" s="1"/>
  <c r="J76" i="1" s="1"/>
  <c r="F76" i="1"/>
  <c r="F77" i="1" s="1"/>
  <c r="K53" i="1"/>
  <c r="F54" i="1"/>
  <c r="G55" i="1"/>
  <c r="J55" i="1" s="1"/>
  <c r="H14" i="1"/>
  <c r="G15" i="1"/>
  <c r="J14" i="1"/>
  <c r="F29" i="1"/>
  <c r="K28" i="1"/>
  <c r="J29" i="1"/>
  <c r="G30" i="1"/>
  <c r="G88" i="3" l="1"/>
  <c r="F89" i="3" s="1"/>
  <c r="G89" i="3" s="1"/>
  <c r="G26" i="3"/>
  <c r="F27" i="3" s="1"/>
  <c r="G27" i="3" s="1"/>
  <c r="D106" i="2"/>
  <c r="L19" i="2"/>
  <c r="K20" i="2" s="1"/>
  <c r="D69" i="2"/>
  <c r="E46" i="2"/>
  <c r="D47" i="2"/>
  <c r="F20" i="2"/>
  <c r="E20" i="2"/>
  <c r="H124" i="1"/>
  <c r="F93" i="1"/>
  <c r="I92" i="1"/>
  <c r="J91" i="1"/>
  <c r="G92" i="1"/>
  <c r="J92" i="1" s="1"/>
  <c r="F104" i="1"/>
  <c r="I103" i="1"/>
  <c r="K102" i="1"/>
  <c r="G103" i="1"/>
  <c r="J103" i="1" s="1"/>
  <c r="K91" i="1"/>
  <c r="I76" i="1"/>
  <c r="H76" i="1"/>
  <c r="H54" i="1"/>
  <c r="K54" i="1" s="1"/>
  <c r="I54" i="1"/>
  <c r="K14" i="1"/>
  <c r="F15" i="1"/>
  <c r="H15" i="1" s="1"/>
  <c r="J30" i="1"/>
  <c r="G31" i="1"/>
  <c r="I29" i="1"/>
  <c r="H29" i="1"/>
  <c r="J15" i="1"/>
  <c r="F106" i="2" l="1"/>
  <c r="E106" i="2"/>
  <c r="M20" i="2"/>
  <c r="L20" i="2"/>
  <c r="E69" i="2"/>
  <c r="F69" i="2"/>
  <c r="E47" i="2"/>
  <c r="F47" i="2"/>
  <c r="D21" i="2"/>
  <c r="E21" i="2"/>
  <c r="F21" i="2"/>
  <c r="K124" i="1"/>
  <c r="F125" i="1"/>
  <c r="I125" i="1" s="1"/>
  <c r="I93" i="1"/>
  <c r="F94" i="1"/>
  <c r="H92" i="1"/>
  <c r="H103" i="1"/>
  <c r="I104" i="1"/>
  <c r="K76" i="1"/>
  <c r="G77" i="1"/>
  <c r="J77" i="1" s="1"/>
  <c r="F55" i="1"/>
  <c r="F16" i="1"/>
  <c r="I15" i="1"/>
  <c r="K29" i="1"/>
  <c r="F30" i="1"/>
  <c r="K21" i="2" l="1"/>
  <c r="D70" i="2"/>
  <c r="D22" i="2"/>
  <c r="F22" i="2" s="1"/>
  <c r="E22" i="2"/>
  <c r="J125" i="1"/>
  <c r="H125" i="1"/>
  <c r="F95" i="1"/>
  <c r="I94" i="1"/>
  <c r="G93" i="1"/>
  <c r="K92" i="1"/>
  <c r="G104" i="1"/>
  <c r="G105" i="1" s="1"/>
  <c r="G106" i="1" s="1"/>
  <c r="G107" i="1" s="1"/>
  <c r="G108" i="1" s="1"/>
  <c r="K103" i="1"/>
  <c r="I77" i="1"/>
  <c r="H77" i="1"/>
  <c r="K77" i="1" s="1"/>
  <c r="F78" i="1"/>
  <c r="F79" i="1" s="1"/>
  <c r="H55" i="1"/>
  <c r="K55" i="1" s="1"/>
  <c r="I55" i="1"/>
  <c r="F56" i="1"/>
  <c r="K15" i="1"/>
  <c r="G16" i="1"/>
  <c r="H16" i="1" s="1"/>
  <c r="I30" i="1"/>
  <c r="H30" i="1"/>
  <c r="F31" i="1" s="1"/>
  <c r="I16" i="1"/>
  <c r="M21" i="2" l="1"/>
  <c r="L21" i="2"/>
  <c r="E70" i="2"/>
  <c r="F70" i="2"/>
  <c r="D23" i="2"/>
  <c r="K125" i="1"/>
  <c r="F126" i="1"/>
  <c r="J126" i="1"/>
  <c r="H126" i="1"/>
  <c r="J93" i="1"/>
  <c r="H93" i="1"/>
  <c r="I95" i="1"/>
  <c r="J104" i="1"/>
  <c r="H104" i="1"/>
  <c r="F105" i="1" s="1"/>
  <c r="I105" i="1" s="1"/>
  <c r="I78" i="1"/>
  <c r="G78" i="1"/>
  <c r="J78" i="1" s="1"/>
  <c r="I56" i="1"/>
  <c r="G56" i="1"/>
  <c r="J56" i="1" s="1"/>
  <c r="G17" i="1"/>
  <c r="J16" i="1"/>
  <c r="K30" i="1"/>
  <c r="I31" i="1"/>
  <c r="H31" i="1"/>
  <c r="D71" i="2" l="1"/>
  <c r="E71" i="2"/>
  <c r="F71" i="2"/>
  <c r="F23" i="2"/>
  <c r="E23" i="2"/>
  <c r="D24" i="2" s="1"/>
  <c r="K126" i="1"/>
  <c r="G127" i="1"/>
  <c r="J127" i="1" s="1"/>
  <c r="F127" i="1"/>
  <c r="I126" i="1"/>
  <c r="K93" i="1"/>
  <c r="G94" i="1"/>
  <c r="K104" i="1"/>
  <c r="H78" i="1"/>
  <c r="H56" i="1"/>
  <c r="K56" i="1" s="1"/>
  <c r="G57" i="1"/>
  <c r="J57" i="1" s="1"/>
  <c r="K16" i="1"/>
  <c r="F17" i="1"/>
  <c r="H17" i="1" s="1"/>
  <c r="K31" i="1"/>
  <c r="F32" i="1"/>
  <c r="F33" i="1" s="1"/>
  <c r="J31" i="1"/>
  <c r="G32" i="1"/>
  <c r="J32" i="1" s="1"/>
  <c r="J17" i="1"/>
  <c r="D72" i="2" l="1"/>
  <c r="E72" i="2" s="1"/>
  <c r="F24" i="2"/>
  <c r="E24" i="2"/>
  <c r="H127" i="1"/>
  <c r="K127" i="1" s="1"/>
  <c r="I127" i="1"/>
  <c r="J94" i="1"/>
  <c r="H94" i="1"/>
  <c r="J105" i="1"/>
  <c r="H105" i="1"/>
  <c r="F106" i="1" s="1"/>
  <c r="I106" i="1" s="1"/>
  <c r="K78" i="1"/>
  <c r="G79" i="1"/>
  <c r="J79" i="1" s="1"/>
  <c r="I79" i="1"/>
  <c r="F80" i="1"/>
  <c r="F81" i="1" s="1"/>
  <c r="F57" i="1"/>
  <c r="I57" i="1" s="1"/>
  <c r="H57" i="1"/>
  <c r="K57" i="1" s="1"/>
  <c r="F18" i="1"/>
  <c r="I17" i="1"/>
  <c r="I32" i="1"/>
  <c r="H32" i="1"/>
  <c r="G33" i="1" s="1"/>
  <c r="F72" i="2" l="1"/>
  <c r="D25" i="2"/>
  <c r="E25" i="2" s="1"/>
  <c r="F25" i="2"/>
  <c r="H79" i="1"/>
  <c r="K79" i="1" s="1"/>
  <c r="K94" i="1"/>
  <c r="G95" i="1"/>
  <c r="F58" i="1"/>
  <c r="K105" i="1"/>
  <c r="F82" i="1"/>
  <c r="I81" i="1"/>
  <c r="I80" i="1"/>
  <c r="I58" i="1"/>
  <c r="G58" i="1"/>
  <c r="J58" i="1" s="1"/>
  <c r="I18" i="1"/>
  <c r="K17" i="1"/>
  <c r="G18" i="1"/>
  <c r="G19" i="1" s="1"/>
  <c r="K32" i="1"/>
  <c r="I33" i="1"/>
  <c r="H33" i="1"/>
  <c r="D26" i="2" l="1"/>
  <c r="E26" i="2" s="1"/>
  <c r="G80" i="1"/>
  <c r="J80" i="1" s="1"/>
  <c r="J95" i="1"/>
  <c r="H95" i="1"/>
  <c r="K95" i="1" s="1"/>
  <c r="J106" i="1"/>
  <c r="H106" i="1"/>
  <c r="F107" i="1" s="1"/>
  <c r="I107" i="1" s="1"/>
  <c r="J18" i="1"/>
  <c r="I82" i="1"/>
  <c r="H80" i="1"/>
  <c r="H58" i="1"/>
  <c r="K58" i="1" s="1"/>
  <c r="H18" i="1"/>
  <c r="K33" i="1"/>
  <c r="F34" i="1"/>
  <c r="J33" i="1"/>
  <c r="G34" i="1"/>
  <c r="J34" i="1" s="1"/>
  <c r="F26" i="2" l="1"/>
  <c r="D27" i="2" s="1"/>
  <c r="K106" i="1"/>
  <c r="K80" i="1"/>
  <c r="G81" i="1"/>
  <c r="K18" i="1"/>
  <c r="F19" i="1"/>
  <c r="H19" i="1" s="1"/>
  <c r="F35" i="1"/>
  <c r="I34" i="1"/>
  <c r="H34" i="1"/>
  <c r="J19" i="1"/>
  <c r="E27" i="2" l="1"/>
  <c r="F27" i="2"/>
  <c r="J107" i="1"/>
  <c r="H107" i="1"/>
  <c r="F108" i="1" s="1"/>
  <c r="I108" i="1" s="1"/>
  <c r="J81" i="1"/>
  <c r="H81" i="1"/>
  <c r="F20" i="1"/>
  <c r="I19" i="1"/>
  <c r="G35" i="1"/>
  <c r="K34" i="1"/>
  <c r="I35" i="1"/>
  <c r="H35" i="1"/>
  <c r="K107" i="1" l="1"/>
  <c r="K81" i="1"/>
  <c r="G82" i="1"/>
  <c r="I20" i="1"/>
  <c r="K19" i="1"/>
  <c r="G20" i="1"/>
  <c r="G21" i="1" s="1"/>
  <c r="K35" i="1"/>
  <c r="F36" i="1"/>
  <c r="J35" i="1"/>
  <c r="G36" i="1"/>
  <c r="J108" i="1" l="1"/>
  <c r="H108" i="1"/>
  <c r="J82" i="1"/>
  <c r="G83" i="1"/>
  <c r="H82" i="1"/>
  <c r="H20" i="1"/>
  <c r="J20" i="1"/>
  <c r="J36" i="1"/>
  <c r="G37" i="1"/>
  <c r="I36" i="1"/>
  <c r="H36" i="1"/>
  <c r="F37" i="1" s="1"/>
  <c r="F38" i="1" s="1"/>
  <c r="K108" i="1" l="1"/>
  <c r="F83" i="1"/>
  <c r="K82" i="1"/>
  <c r="G84" i="1"/>
  <c r="J84" i="1" s="1"/>
  <c r="J83" i="1"/>
  <c r="K20" i="1"/>
  <c r="F21" i="1"/>
  <c r="H21" i="1" s="1"/>
  <c r="I38" i="1"/>
  <c r="J37" i="1"/>
  <c r="K36" i="1"/>
  <c r="I37" i="1"/>
  <c r="H37" i="1"/>
  <c r="J21" i="1"/>
  <c r="H83" i="1" l="1"/>
  <c r="I83" i="1"/>
  <c r="K37" i="1"/>
  <c r="G38" i="1"/>
  <c r="I21" i="1"/>
  <c r="F22" i="1"/>
  <c r="K21" i="1"/>
  <c r="F84" i="1" l="1"/>
  <c r="K83" i="1"/>
  <c r="I22" i="1"/>
  <c r="J38" i="1"/>
  <c r="H38" i="1"/>
  <c r="K38" i="1" s="1"/>
  <c r="G22" i="1"/>
  <c r="J22" i="1" s="1"/>
  <c r="I84" i="1" l="1"/>
  <c r="H84" i="1"/>
  <c r="H22" i="1"/>
  <c r="K22" i="1"/>
  <c r="K84" i="1" l="1"/>
</calcChain>
</file>

<file path=xl/sharedStrings.xml><?xml version="1.0" encoding="utf-8"?>
<sst xmlns="http://schemas.openxmlformats.org/spreadsheetml/2006/main" count="197" uniqueCount="25">
  <si>
    <t>x^3-e^0.8*x=20</t>
  </si>
  <si>
    <t>x</t>
  </si>
  <si>
    <t>y</t>
  </si>
  <si>
    <t>#</t>
  </si>
  <si>
    <t>a</t>
  </si>
  <si>
    <t>b</t>
  </si>
  <si>
    <t>m</t>
  </si>
  <si>
    <t>f(a)</t>
  </si>
  <si>
    <t>f(b)</t>
  </si>
  <si>
    <t>f(m)</t>
  </si>
  <si>
    <t>tol</t>
  </si>
  <si>
    <t>RAIZ</t>
  </si>
  <si>
    <t>3*sin(0.5*x)-0.5*x+2</t>
  </si>
  <si>
    <t>x^3-x^2*e^(-0.5*x)-3x+1</t>
  </si>
  <si>
    <t>cos^2(x)-0.5*x*e^0.3x+5</t>
  </si>
  <si>
    <t xml:space="preserve">  | f(xi)  | &lt;=  tol</t>
  </si>
  <si>
    <t>f(x)</t>
  </si>
  <si>
    <t>f'(x)</t>
  </si>
  <si>
    <t>`</t>
  </si>
  <si>
    <t>f′(x)=3x2−0.8e0.8x</t>
  </si>
  <si>
    <t>f′(x)=1.5cos(0.5x)−0.5</t>
  </si>
  <si>
    <t>f′(x)=3x2−e−0.5x(2x−0.5x2)−3</t>
  </si>
  <si>
    <t>f′(x)=−2cos(x)sin(x)−0.5e0.3x(1+0.3x)</t>
  </si>
  <si>
    <t>tol = 0,00005</t>
  </si>
  <si>
    <t>|f(x)| &lt;= 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</si>
</sst>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1" fillId="0" borderId="0" xfId="0" applyFont="1"/>
    <xf numFmtId="0" fontId="0" fillId="4" borderId="1" xfId="0" applyFill="1" applyBorder="1"/>
    <xf numFmtId="0" fontId="1" fillId="0" borderId="1" xfId="0" applyFont="1" applyFill="1" applyBorder="1"/>
    <xf numFmtId="0" fontId="0" fillId="5" borderId="0" xfId="0" applyFill="1"/>
    <xf numFmtId="0" fontId="0" fillId="0" borderId="0" xfId="0" quotePrefix="1"/>
    <xf numFmtId="0" fontId="0" fillId="3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0" borderId="0" xfId="0" applyFill="1"/>
    <xf numFmtId="0" fontId="0" fillId="0" borderId="1" xfId="0" applyFill="1" applyBorder="1"/>
    <xf numFmtId="0" fontId="0" fillId="3" borderId="1" xfId="0" applyFont="1" applyFill="1" applyBorder="1"/>
    <xf numFmtId="0" fontId="0" fillId="8" borderId="0" xfId="0" applyFill="1"/>
    <xf numFmtId="0" fontId="1" fillId="9" borderId="1" xfId="0" applyFont="1" applyFill="1" applyBorder="1"/>
    <xf numFmtId="0" fontId="0" fillId="0" borderId="1" xfId="0" applyFont="1" applyFill="1" applyBorder="1"/>
    <xf numFmtId="0" fontId="1" fillId="6" borderId="1" xfId="0" applyFont="1" applyFill="1" applyBorder="1"/>
    <xf numFmtId="0" fontId="0" fillId="10" borderId="0" xfId="0" applyFill="1"/>
    <xf numFmtId="0" fontId="0" fillId="9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Biseccion!$O$10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Biseccion!$N$11:$N$21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Biseccion!$O$11:$O$21</c:f>
              <c:numCache>
                <c:formatCode>General</c:formatCode>
                <c:ptCount val="11"/>
                <c:pt idx="0">
                  <c:v>3.5</c:v>
                </c:pt>
                <c:pt idx="1">
                  <c:v>3.25</c:v>
                </c:pt>
                <c:pt idx="2">
                  <c:v>3.125</c:v>
                </c:pt>
                <c:pt idx="3">
                  <c:v>3.1875</c:v>
                </c:pt>
                <c:pt idx="4">
                  <c:v>3.21875</c:v>
                </c:pt>
                <c:pt idx="5">
                  <c:v>3.203125</c:v>
                </c:pt>
                <c:pt idx="6">
                  <c:v>3.2109375</c:v>
                </c:pt>
                <c:pt idx="7">
                  <c:v>3.20703125</c:v>
                </c:pt>
                <c:pt idx="8">
                  <c:v>3.208984375</c:v>
                </c:pt>
                <c:pt idx="9">
                  <c:v>3.2080078125</c:v>
                </c:pt>
                <c:pt idx="10">
                  <c:v>3.20849609375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6-48D7-9CE1-ECC3FE8D8CC5}"/>
            </c:ext>
          </c:extLst>
        </c:ser>
        <c:ser>
          <c:idx val="1"/>
          <c:order val="1"/>
          <c:tx>
            <c:strRef>
              <c:f>Biseccion!$P$10</c:f>
              <c:strCache>
                <c:ptCount val="1"/>
                <c:pt idx="0">
                  <c:v>f(m)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Biseccion!$N$11:$N$21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Biseccion!$P$11:$P$21</c:f>
              <c:numCache>
                <c:formatCode>General</c:formatCode>
                <c:ptCount val="11"/>
                <c:pt idx="0">
                  <c:v>6.4303532289029448</c:v>
                </c:pt>
                <c:pt idx="1">
                  <c:v>0.86438696499831025</c:v>
                </c:pt>
                <c:pt idx="2">
                  <c:v>-1.664915835703475</c:v>
                </c:pt>
                <c:pt idx="3">
                  <c:v>-0.42160573578803451</c:v>
                </c:pt>
                <c:pt idx="4">
                  <c:v>0.21606443330685821</c:v>
                </c:pt>
                <c:pt idx="5">
                  <c:v>-0.10410353645155368</c:v>
                </c:pt>
                <c:pt idx="6">
                  <c:v>5.5647382134296208E-2</c:v>
                </c:pt>
                <c:pt idx="7">
                  <c:v>-2.4311363882567605E-2</c:v>
                </c:pt>
                <c:pt idx="8">
                  <c:v>1.5647189915139137E-2</c:v>
                </c:pt>
                <c:pt idx="9">
                  <c:v>-4.3372920982065466E-3</c:v>
                </c:pt>
                <c:pt idx="10">
                  <c:v>5.6536476686304127E-3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66-48D7-9CE1-ECC3FE8D8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286944"/>
        <c:axId val="1432275424"/>
      </c:lineChart>
      <c:catAx>
        <c:axId val="143228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75424"/>
        <c:crosses val="autoZero"/>
        <c:auto val="1"/>
        <c:lblAlgn val="ctr"/>
        <c:lblOffset val="100"/>
        <c:noMultiLvlLbl val="0"/>
      </c:catAx>
      <c:valAx>
        <c:axId val="14322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8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Biseccion!$O$25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Biseccion!$N$26:$N$38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Biseccion!$O$26:$O$38</c:f>
              <c:numCache>
                <c:formatCode>General</c:formatCode>
                <c:ptCount val="13"/>
                <c:pt idx="0">
                  <c:v>7.5</c:v>
                </c:pt>
                <c:pt idx="1">
                  <c:v>7.25</c:v>
                </c:pt>
                <c:pt idx="2">
                  <c:v>7.375</c:v>
                </c:pt>
                <c:pt idx="3">
                  <c:v>7.4375</c:v>
                </c:pt>
                <c:pt idx="4">
                  <c:v>7.46875</c:v>
                </c:pt>
                <c:pt idx="5">
                  <c:v>7.484375</c:v>
                </c:pt>
                <c:pt idx="6">
                  <c:v>7.4921875</c:v>
                </c:pt>
                <c:pt idx="7">
                  <c:v>7.48828125</c:v>
                </c:pt>
                <c:pt idx="8">
                  <c:v>7.490234375</c:v>
                </c:pt>
                <c:pt idx="9">
                  <c:v>7.4892578125</c:v>
                </c:pt>
                <c:pt idx="10">
                  <c:v>7.48974609375</c:v>
                </c:pt>
                <c:pt idx="11">
                  <c:v>7.489990234375</c:v>
                </c:pt>
                <c:pt idx="12">
                  <c:v>7.4898681640625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4-4B65-BB29-DEC133B929C7}"/>
            </c:ext>
          </c:extLst>
        </c:ser>
        <c:ser>
          <c:idx val="1"/>
          <c:order val="1"/>
          <c:tx>
            <c:strRef>
              <c:f>Biseccion!$P$25</c:f>
              <c:strCache>
                <c:ptCount val="1"/>
                <c:pt idx="0">
                  <c:v>f(m)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Biseccion!$N$26:$N$38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Biseccion!$P$26:$P$38</c:f>
              <c:numCache>
                <c:formatCode>General</c:formatCode>
                <c:ptCount val="13"/>
                <c:pt idx="0">
                  <c:v>-1.5537934927351102</c:v>
                </c:pt>
                <c:pt idx="1">
                  <c:v>30.778565090351094</c:v>
                </c:pt>
                <c:pt idx="2">
                  <c:v>16.093391509671108</c:v>
                </c:pt>
                <c:pt idx="3">
                  <c:v>7.6624324232631125</c:v>
                </c:pt>
                <c:pt idx="4">
                  <c:v>3.1554035475757587</c:v>
                </c:pt>
                <c:pt idx="5">
                  <c:v>0.8264500659092846</c:v>
                </c:pt>
                <c:pt idx="6">
                  <c:v>-0.35721317290773413</c:v>
                </c:pt>
                <c:pt idx="7">
                  <c:v>0.23622714772449172</c:v>
                </c:pt>
                <c:pt idx="8">
                  <c:v>-6.0090097039847024E-2</c:v>
                </c:pt>
                <c:pt idx="9">
                  <c:v>8.8169161606231228E-2</c:v>
                </c:pt>
                <c:pt idx="10">
                  <c:v>1.406470292135964E-2</c:v>
                </c:pt>
                <c:pt idx="11">
                  <c:v>-2.300640295266021E-2</c:v>
                </c:pt>
                <c:pt idx="12">
                  <c:v>-4.4692766700791253E-3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14-4B65-BB29-DEC133B92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273024"/>
        <c:axId val="1432275904"/>
      </c:lineChart>
      <c:catAx>
        <c:axId val="14322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75904"/>
        <c:crosses val="autoZero"/>
        <c:auto val="1"/>
        <c:lblAlgn val="ctr"/>
        <c:lblOffset val="100"/>
        <c:noMultiLvlLbl val="0"/>
      </c:catAx>
      <c:valAx>
        <c:axId val="14322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Biseccion!$O$50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Biseccion!$N$51:$N$58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Biseccion!$O$51:$O$58</c:f>
              <c:numCache>
                <c:formatCode>General</c:formatCode>
                <c:ptCount val="8"/>
                <c:pt idx="0">
                  <c:v>5.5</c:v>
                </c:pt>
                <c:pt idx="1">
                  <c:v>5.75</c:v>
                </c:pt>
                <c:pt idx="2">
                  <c:v>5.625</c:v>
                </c:pt>
                <c:pt idx="3">
                  <c:v>5.6875</c:v>
                </c:pt>
                <c:pt idx="4">
                  <c:v>5.71875</c:v>
                </c:pt>
                <c:pt idx="5">
                  <c:v>5.703125</c:v>
                </c:pt>
                <c:pt idx="6">
                  <c:v>5.7109375</c:v>
                </c:pt>
                <c:pt idx="7">
                  <c:v>5.70703125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5-4766-8314-5AED3F57D08F}"/>
            </c:ext>
          </c:extLst>
        </c:ser>
        <c:ser>
          <c:idx val="1"/>
          <c:order val="1"/>
          <c:tx>
            <c:strRef>
              <c:f>Biseccion!$P$50</c:f>
              <c:strCache>
                <c:ptCount val="1"/>
                <c:pt idx="0">
                  <c:v>f(m)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Biseccion!$N$51:$N$58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Biseccion!$P$51:$P$58</c:f>
              <c:numCache>
                <c:formatCode>General</c:formatCode>
                <c:ptCount val="8"/>
                <c:pt idx="0">
                  <c:v>0.39498297615699496</c:v>
                </c:pt>
                <c:pt idx="1">
                  <c:v>-8.4662019909737651E-2</c:v>
                </c:pt>
                <c:pt idx="2">
                  <c:v>0.15705352099906067</c:v>
                </c:pt>
                <c:pt idx="3">
                  <c:v>3.6625586454641201E-2</c:v>
                </c:pt>
                <c:pt idx="4">
                  <c:v>-2.3916234089780275E-2</c:v>
                </c:pt>
                <c:pt idx="5">
                  <c:v>6.3808584027273962E-3</c:v>
                </c:pt>
                <c:pt idx="6">
                  <c:v>-8.7612279860023179E-3</c:v>
                </c:pt>
                <c:pt idx="7">
                  <c:v>-1.1885591072906543E-3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5-4766-8314-5AED3F57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289824"/>
        <c:axId val="1432273504"/>
      </c:lineChart>
      <c:catAx>
        <c:axId val="143228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73504"/>
        <c:crosses val="autoZero"/>
        <c:auto val="1"/>
        <c:lblAlgn val="ctr"/>
        <c:lblOffset val="100"/>
        <c:noMultiLvlLbl val="0"/>
      </c:catAx>
      <c:valAx>
        <c:axId val="143227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8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Biseccion!$O$72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Biseccion!$N$73:$N$84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Biseccion!$O$73:$O$84</c:f>
              <c:numCache>
                <c:formatCode>General</c:formatCode>
                <c:ptCount val="12"/>
                <c:pt idx="0">
                  <c:v>-1.5</c:v>
                </c:pt>
                <c:pt idx="1">
                  <c:v>-1.25</c:v>
                </c:pt>
                <c:pt idx="2">
                  <c:v>-1.125</c:v>
                </c:pt>
                <c:pt idx="3">
                  <c:v>-0.68612965424392369</c:v>
                </c:pt>
                <c:pt idx="4">
                  <c:v>-0.96806482712196185</c:v>
                </c:pt>
                <c:pt idx="5">
                  <c:v>-1.109032413560981</c:v>
                </c:pt>
                <c:pt idx="6">
                  <c:v>-1.1795162067804905</c:v>
                </c:pt>
                <c:pt idx="7">
                  <c:v>-1.2147581033902453</c:v>
                </c:pt>
                <c:pt idx="8">
                  <c:v>-1.2323790516951227</c:v>
                </c:pt>
                <c:pt idx="9">
                  <c:v>-1.2411895258475614</c:v>
                </c:pt>
                <c:pt idx="10">
                  <c:v>-1.2367842887713421</c:v>
                </c:pt>
                <c:pt idx="11">
                  <c:v>-1.2345816702332324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8-4015-B794-3E9C96B1BD77}"/>
            </c:ext>
          </c:extLst>
        </c:ser>
        <c:ser>
          <c:idx val="1"/>
          <c:order val="1"/>
          <c:tx>
            <c:strRef>
              <c:f>Biseccion!$P$72</c:f>
              <c:strCache>
                <c:ptCount val="1"/>
                <c:pt idx="0">
                  <c:v>f(m)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Biseccion!$N$73:$N$84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Biseccion!$P$73:$P$84</c:f>
              <c:numCache>
                <c:formatCode>General</c:formatCode>
                <c:ptCount val="12"/>
                <c:pt idx="0">
                  <c:v>-2.6382500373785192</c:v>
                </c:pt>
                <c:pt idx="1">
                  <c:v>-0.12225930848784738</c:v>
                </c:pt>
                <c:pt idx="2">
                  <c:v>0.72993082478462235</c:v>
                </c:pt>
                <c:pt idx="3">
                  <c:v>2.0719341428910294</c:v>
                </c:pt>
                <c:pt idx="4">
                  <c:v>1.476350236575271</c:v>
                </c:pt>
                <c:pt idx="5">
                  <c:v>0.8215705366174797</c:v>
                </c:pt>
                <c:pt idx="6">
                  <c:v>0.38832955059574337</c:v>
                </c:pt>
                <c:pt idx="7">
                  <c:v>0.14303155123844835</c:v>
                </c:pt>
                <c:pt idx="8">
                  <c:v>1.2926880219264802E-2</c:v>
                </c:pt>
                <c:pt idx="9">
                  <c:v>-5.4025776044066554E-2</c:v>
                </c:pt>
                <c:pt idx="10">
                  <c:v>-2.038999632726135E-2</c:v>
                </c:pt>
                <c:pt idx="11">
                  <c:v>-3.6917772340117061E-3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B8-4015-B794-3E9C96B1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93616"/>
        <c:axId val="1506701296"/>
      </c:lineChart>
      <c:catAx>
        <c:axId val="150669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701296"/>
        <c:crosses val="autoZero"/>
        <c:auto val="1"/>
        <c:lblAlgn val="ctr"/>
        <c:lblOffset val="100"/>
        <c:noMultiLvlLbl val="0"/>
      </c:catAx>
      <c:valAx>
        <c:axId val="15067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69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Biseccion!$O$87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Biseccion!$N$88:$N$95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Biseccion!$O$88:$O$95</c:f>
              <c:numCache>
                <c:formatCode>General</c:formatCode>
                <c:ptCount val="8"/>
                <c:pt idx="0">
                  <c:v>0.5</c:v>
                </c:pt>
                <c:pt idx="1">
                  <c:v>0.25</c:v>
                </c:pt>
                <c:pt idx="2">
                  <c:v>0.375</c:v>
                </c:pt>
                <c:pt idx="3">
                  <c:v>0.3125</c:v>
                </c:pt>
                <c:pt idx="4">
                  <c:v>0.34375</c:v>
                </c:pt>
                <c:pt idx="5">
                  <c:v>0.328125</c:v>
                </c:pt>
                <c:pt idx="6">
                  <c:v>0.3203125</c:v>
                </c:pt>
                <c:pt idx="7">
                  <c:v>0.31640625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F-4836-9890-8B01BAA64B33}"/>
            </c:ext>
          </c:extLst>
        </c:ser>
        <c:ser>
          <c:idx val="1"/>
          <c:order val="1"/>
          <c:tx>
            <c:strRef>
              <c:f>Biseccion!$P$87</c:f>
              <c:strCache>
                <c:ptCount val="1"/>
                <c:pt idx="0">
                  <c:v>f(m)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Biseccion!$N$88:$N$95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Biseccion!$P$88:$P$95</c:f>
              <c:numCache>
                <c:formatCode>General</c:formatCode>
                <c:ptCount val="8"/>
                <c:pt idx="0">
                  <c:v>-0.56970019576785114</c:v>
                </c:pt>
                <c:pt idx="1">
                  <c:v>0.2104689435884628</c:v>
                </c:pt>
                <c:pt idx="2">
                  <c:v>-0.18884784474411886</c:v>
                </c:pt>
                <c:pt idx="3">
                  <c:v>9.4877610051344874E-3</c:v>
                </c:pt>
                <c:pt idx="4">
                  <c:v>-9.0135220394872428E-2</c:v>
                </c:pt>
                <c:pt idx="5">
                  <c:v>-4.0422049298882712E-2</c:v>
                </c:pt>
                <c:pt idx="6">
                  <c:v>-1.5489782308668598E-2</c:v>
                </c:pt>
                <c:pt idx="7">
                  <c:v>-3.006427010124435E-3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DF-4836-9890-8B01BAA64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99376"/>
        <c:axId val="1506700816"/>
      </c:lineChart>
      <c:catAx>
        <c:axId val="15066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700816"/>
        <c:crosses val="autoZero"/>
        <c:auto val="1"/>
        <c:lblAlgn val="ctr"/>
        <c:lblOffset val="100"/>
        <c:noMultiLvlLbl val="0"/>
      </c:catAx>
      <c:valAx>
        <c:axId val="15067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69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Biseccion!$O$98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Biseccion!$N$99:$N$108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Biseccion!$O$99:$O$108</c:f>
              <c:numCache>
                <c:formatCode>General</c:formatCode>
                <c:ptCount val="10"/>
                <c:pt idx="0">
                  <c:v>1.5</c:v>
                </c:pt>
                <c:pt idx="1">
                  <c:v>1.75</c:v>
                </c:pt>
                <c:pt idx="2">
                  <c:v>1.875</c:v>
                </c:pt>
                <c:pt idx="3">
                  <c:v>1.8125</c:v>
                </c:pt>
                <c:pt idx="4">
                  <c:v>1.78125</c:v>
                </c:pt>
                <c:pt idx="5">
                  <c:v>1.765625</c:v>
                </c:pt>
                <c:pt idx="6">
                  <c:v>1.7734375</c:v>
                </c:pt>
                <c:pt idx="7">
                  <c:v>1.77734375</c:v>
                </c:pt>
                <c:pt idx="8">
                  <c:v>1.779296875</c:v>
                </c:pt>
                <c:pt idx="9">
                  <c:v>1.7802734375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6-457F-9B73-7A315B8346CB}"/>
            </c:ext>
          </c:extLst>
        </c:ser>
        <c:ser>
          <c:idx val="1"/>
          <c:order val="1"/>
          <c:tx>
            <c:strRef>
              <c:f>Biseccion!$P$98</c:f>
              <c:strCache>
                <c:ptCount val="1"/>
                <c:pt idx="0">
                  <c:v>f(m)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Biseccion!$N$99:$N$108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Biseccion!$P$99:$P$108</c:f>
              <c:numCache>
                <c:formatCode>General</c:formatCode>
                <c:ptCount val="10"/>
                <c:pt idx="0">
                  <c:v>-1.1878247436672833</c:v>
                </c:pt>
                <c:pt idx="1">
                  <c:v>-0.16726493526543162</c:v>
                </c:pt>
                <c:pt idx="2">
                  <c:v>0.59005834371437871</c:v>
                </c:pt>
                <c:pt idx="3">
                  <c:v>0.18952259218409928</c:v>
                </c:pt>
                <c:pt idx="4">
                  <c:v>5.7561880955994127E-3</c:v>
                </c:pt>
                <c:pt idx="5">
                  <c:v>-8.2085517878812908E-2</c:v>
                </c:pt>
                <c:pt idx="6">
                  <c:v>-3.8498954300466792E-2</c:v>
                </c:pt>
                <c:pt idx="7">
                  <c:v>-1.6455143251628002E-2</c:v>
                </c:pt>
                <c:pt idx="8">
                  <c:v>-5.3704410824852999E-3</c:v>
                </c:pt>
                <c:pt idx="9">
                  <c:v>1.8762969750696357E-4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6-457F-9B73-7A315B834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6662896"/>
        <c:axId val="1506667216"/>
      </c:lineChart>
      <c:catAx>
        <c:axId val="150666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667216"/>
        <c:crosses val="autoZero"/>
        <c:auto val="1"/>
        <c:lblAlgn val="ctr"/>
        <c:lblOffset val="100"/>
        <c:noMultiLvlLbl val="0"/>
      </c:catAx>
      <c:valAx>
        <c:axId val="150666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66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Biseccion!$O$120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Biseccion!$N$121:$N$127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Biseccion!$O$121:$O$127</c:f>
              <c:numCache>
                <c:formatCode>General</c:formatCode>
                <c:ptCount val="7"/>
                <c:pt idx="0">
                  <c:v>3.5</c:v>
                </c:pt>
                <c:pt idx="1">
                  <c:v>3.75</c:v>
                </c:pt>
                <c:pt idx="2">
                  <c:v>3.625</c:v>
                </c:pt>
                <c:pt idx="3">
                  <c:v>3.6875</c:v>
                </c:pt>
                <c:pt idx="4">
                  <c:v>3.71875</c:v>
                </c:pt>
                <c:pt idx="5">
                  <c:v>3.734375</c:v>
                </c:pt>
                <c:pt idx="6">
                  <c:v>3.7265625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4-4848-91A2-6E80AFFA75C4}"/>
            </c:ext>
          </c:extLst>
        </c:ser>
        <c:ser>
          <c:idx val="1"/>
          <c:order val="1"/>
          <c:tx>
            <c:strRef>
              <c:f>Biseccion!$P$120</c:f>
              <c:strCache>
                <c:ptCount val="1"/>
                <c:pt idx="0">
                  <c:v>f(m)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Biseccion!$N$121:$N$127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Biseccion!$P$121:$P$127</c:f>
              <c:numCache>
                <c:formatCode>General</c:formatCode>
                <c:ptCount val="7"/>
                <c:pt idx="0">
                  <c:v>0.87606167056111595</c:v>
                </c:pt>
                <c:pt idx="1">
                  <c:v>-0.10208893280379527</c:v>
                </c:pt>
                <c:pt idx="2">
                  <c:v>0.40655067707081294</c:v>
                </c:pt>
                <c:pt idx="3">
                  <c:v>0.15677999132921183</c:v>
                </c:pt>
                <c:pt idx="4">
                  <c:v>2.8436804737782317E-2</c:v>
                </c:pt>
                <c:pt idx="5">
                  <c:v>-3.6559165284978157E-2</c:v>
                </c:pt>
                <c:pt idx="6">
                  <c:v>-3.9937086888297557E-3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4-4848-91A2-6E80AFFA7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316224"/>
        <c:axId val="1432304224"/>
      </c:lineChart>
      <c:catAx>
        <c:axId val="143231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304224"/>
        <c:crosses val="autoZero"/>
        <c:auto val="1"/>
        <c:lblAlgn val="ctr"/>
        <c:lblOffset val="100"/>
        <c:noMultiLvlLbl val="0"/>
      </c:catAx>
      <c:valAx>
        <c:axId val="143230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31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Biseccion!$C$10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Biseccion!$B$11:$B$19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Biseccion!$C$11:$C$19</c:f>
              <c:numCache>
                <c:formatCode>General</c:formatCode>
                <c:ptCount val="9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  <c:pt idx="7">
                  <c:v>52.573592573847236</c:v>
                </c:pt>
                <c:pt idx="8">
                  <c:v>-109.84503787208223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8-4B7B-BB5B-8E6192171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632176"/>
        <c:axId val="1506640336"/>
      </c:scatterChart>
      <c:valAx>
        <c:axId val="150663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640336"/>
        <c:crosses val="autoZero"/>
        <c:crossBetween val="midCat"/>
      </c:valAx>
      <c:valAx>
        <c:axId val="15066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50663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Biseccion!$C$72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Biseccion!$B$73:$B$79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Biseccion!$C$73:$C$79</c:f>
              <c:numCache>
                <c:formatCode>General</c:formatCode>
                <c:ptCount val="7"/>
                <c:pt idx="0">
                  <c:v>-57.335201633042573</c:v>
                </c:pt>
                <c:pt idx="1">
                  <c:v>-11.873127313836179</c:v>
                </c:pt>
                <c:pt idx="2">
                  <c:v>1.3512787292998718</c:v>
                </c:pt>
                <c:pt idx="3">
                  <c:v>1</c:v>
                </c:pt>
                <c:pt idx="4">
                  <c:v>-1.6065306597126332</c:v>
                </c:pt>
                <c:pt idx="5">
                  <c:v>1.5284822353142307</c:v>
                </c:pt>
                <c:pt idx="6">
                  <c:v>16.991828558664132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E3-4E6D-9298-00F911F82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320064"/>
        <c:axId val="1432323424"/>
      </c:scatterChart>
      <c:valAx>
        <c:axId val="143232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323424"/>
        <c:crosses val="autoZero"/>
        <c:crossBetween val="midCat"/>
      </c:valAx>
      <c:valAx>
        <c:axId val="14323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32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Biseccion!$C$120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Biseccion!$B$121:$B$129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Biseccion!$C$121:$C$129</c:f>
              <c:numCache>
                <c:formatCode>General</c:formatCode>
                <c:ptCount val="9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  <c:pt idx="7">
                  <c:v>-23.013226084882863</c:v>
                </c:pt>
                <c:pt idx="8">
                  <c:v>-39.071535262728098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5B-4BA0-8B7A-A73B2CAD7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288864"/>
        <c:axId val="1432281184"/>
      </c:scatterChart>
      <c:valAx>
        <c:axId val="14322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81184"/>
        <c:crosses val="autoZero"/>
        <c:crossBetween val="midCat"/>
      </c:valAx>
      <c:valAx>
        <c:axId val="143228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322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chart" Target="../charts/chart9.xml"/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12" Type="http://schemas.openxmlformats.org/officeDocument/2006/relationships/chart" Target="../charts/chart8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chart" Target="../charts/chart7.xml"/><Relationship Id="rId5" Type="http://schemas.openxmlformats.org/officeDocument/2006/relationships/chart" Target="../charts/chart3.xml"/><Relationship Id="rId10" Type="http://schemas.openxmlformats.org/officeDocument/2006/relationships/image" Target="../media/image4.png"/><Relationship Id="rId4" Type="http://schemas.openxmlformats.org/officeDocument/2006/relationships/image" Target="../media/image2.png"/><Relationship Id="rId9" Type="http://schemas.openxmlformats.org/officeDocument/2006/relationships/chart" Target="../charts/chart6.xml"/><Relationship Id="rId14" Type="http://schemas.openxmlformats.org/officeDocument/2006/relationships/chart" Target="../charts/chart10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1</xdr:row>
      <xdr:rowOff>0</xdr:rowOff>
    </xdr:from>
    <xdr:to>
      <xdr:col>9</xdr:col>
      <xdr:colOff>620486</xdr:colOff>
      <xdr:row>4</xdr:row>
      <xdr:rowOff>8437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799BA-41CB-9B42-5390-B0EDC2BAF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659" y="1850571"/>
          <a:ext cx="6977741" cy="563609"/>
        </a:xfrm>
        <a:prstGeom prst="rect">
          <a:avLst/>
        </a:prstGeom>
      </xdr:spPr>
    </xdr:pic>
    <xdr:clientData/>
  </xdr:twoCellAnchor>
  <xdr:twoCellAnchor>
    <xdr:from>
      <xdr:col>12</xdr:col>
      <xdr:colOff>266700</xdr:colOff>
      <xdr:row>7</xdr:row>
      <xdr:rowOff>179070</xdr:rowOff>
    </xdr:from>
    <xdr:to>
      <xdr:col>18</xdr:col>
      <xdr:colOff>83820</xdr:colOff>
      <xdr:row>22</xdr:row>
      <xdr:rowOff>179070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CC40FC3-CF4F-FC5E-9E77-0E547033C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281940</xdr:colOff>
      <xdr:row>23</xdr:row>
      <xdr:rowOff>125730</xdr:rowOff>
    </xdr:from>
    <xdr:to>
      <xdr:col>18</xdr:col>
      <xdr:colOff>99060</xdr:colOff>
      <xdr:row>38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F42D927-C467-D3D2-EE89-3DAC1DB68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11</xdr:col>
      <xdr:colOff>552691</xdr:colOff>
      <xdr:row>44</xdr:row>
      <xdr:rowOff>170468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C588547-8F2D-58F3-5EDF-221005F1B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406467"/>
          <a:ext cx="9307224" cy="543001"/>
        </a:xfrm>
        <a:prstGeom prst="rect">
          <a:avLst/>
        </a:prstGeom>
      </xdr:spPr>
    </xdr:pic>
    <xdr:clientData/>
  </xdr:twoCellAnchor>
  <xdr:twoCellAnchor>
    <xdr:from>
      <xdr:col>12</xdr:col>
      <xdr:colOff>203200</xdr:colOff>
      <xdr:row>46</xdr:row>
      <xdr:rowOff>42334</xdr:rowOff>
    </xdr:from>
    <xdr:to>
      <xdr:col>18</xdr:col>
      <xdr:colOff>0</xdr:colOff>
      <xdr:row>60</xdr:row>
      <xdr:rowOff>177800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118AC66-F6B5-1A84-23B8-2E466B0C0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8467</xdr:colOff>
      <xdr:row>63</xdr:row>
      <xdr:rowOff>101599</xdr:rowOff>
    </xdr:from>
    <xdr:to>
      <xdr:col>10</xdr:col>
      <xdr:colOff>728133</xdr:colOff>
      <xdr:row>66</xdr:row>
      <xdr:rowOff>168891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8386A85-F538-3FB4-1CEB-FE9BBB13F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67" y="13318066"/>
          <a:ext cx="8678333" cy="626092"/>
        </a:xfrm>
        <a:prstGeom prst="rect">
          <a:avLst/>
        </a:prstGeom>
      </xdr:spPr>
    </xdr:pic>
    <xdr:clientData/>
  </xdr:twoCellAnchor>
  <xdr:twoCellAnchor>
    <xdr:from>
      <xdr:col>12</xdr:col>
      <xdr:colOff>93133</xdr:colOff>
      <xdr:row>70</xdr:row>
      <xdr:rowOff>16934</xdr:rowOff>
    </xdr:from>
    <xdr:to>
      <xdr:col>17</xdr:col>
      <xdr:colOff>685800</xdr:colOff>
      <xdr:row>84</xdr:row>
      <xdr:rowOff>152400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0C38527-706E-8A6F-15BA-87FBC3E58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245534</xdr:colOff>
      <xdr:row>85</xdr:row>
      <xdr:rowOff>84667</xdr:rowOff>
    </xdr:from>
    <xdr:to>
      <xdr:col>17</xdr:col>
      <xdr:colOff>304801</xdr:colOff>
      <xdr:row>95</xdr:row>
      <xdr:rowOff>143933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A48CF4E-E831-1C6F-EF7A-973B4ABE7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211666</xdr:colOff>
      <xdr:row>96</xdr:row>
      <xdr:rowOff>84667</xdr:rowOff>
    </xdr:from>
    <xdr:to>
      <xdr:col>18</xdr:col>
      <xdr:colOff>143933</xdr:colOff>
      <xdr:row>109</xdr:row>
      <xdr:rowOff>16933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6A463FD-1C18-C118-4561-30A4DAE99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111</xdr:row>
      <xdr:rowOff>0</xdr:rowOff>
    </xdr:from>
    <xdr:to>
      <xdr:col>12</xdr:col>
      <xdr:colOff>147403</xdr:colOff>
      <xdr:row>114</xdr:row>
      <xdr:rowOff>60411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59D0060-0E62-D66B-5FC2-5E845B61B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030267"/>
          <a:ext cx="9697803" cy="619211"/>
        </a:xfrm>
        <a:prstGeom prst="rect">
          <a:avLst/>
        </a:prstGeom>
      </xdr:spPr>
    </xdr:pic>
    <xdr:clientData/>
  </xdr:twoCellAnchor>
  <xdr:twoCellAnchor>
    <xdr:from>
      <xdr:col>12</xdr:col>
      <xdr:colOff>304800</xdr:colOff>
      <xdr:row>117</xdr:row>
      <xdr:rowOff>8466</xdr:rowOff>
    </xdr:from>
    <xdr:to>
      <xdr:col>18</xdr:col>
      <xdr:colOff>101600</xdr:colOff>
      <xdr:row>131</xdr:row>
      <xdr:rowOff>143933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84DE794-3EA0-3B8F-7941-87E396B6D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457200</xdr:colOff>
      <xdr:row>21</xdr:row>
      <xdr:rowOff>1</xdr:rowOff>
    </xdr:from>
    <xdr:to>
      <xdr:col>3</xdr:col>
      <xdr:colOff>186267</xdr:colOff>
      <xdr:row>31</xdr:row>
      <xdr:rowOff>67734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5F5DFA5-DEC0-6892-EE14-D84A17839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482600</xdr:colOff>
      <xdr:row>80</xdr:row>
      <xdr:rowOff>67733</xdr:rowOff>
    </xdr:from>
    <xdr:to>
      <xdr:col>3</xdr:col>
      <xdr:colOff>211667</xdr:colOff>
      <xdr:row>89</xdr:row>
      <xdr:rowOff>16931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ABF9AA1-E89F-5942-C2E5-E91D14664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508000</xdr:colOff>
      <xdr:row>130</xdr:row>
      <xdr:rowOff>93133</xdr:rowOff>
    </xdr:from>
    <xdr:to>
      <xdr:col>3</xdr:col>
      <xdr:colOff>313267</xdr:colOff>
      <xdr:row>139</xdr:row>
      <xdr:rowOff>160866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9EAA3CC6-87EC-7DF3-7F8B-7F43FCB7D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1</xdr:row>
      <xdr:rowOff>0</xdr:rowOff>
    </xdr:from>
    <xdr:to>
      <xdr:col>9</xdr:col>
      <xdr:colOff>620486</xdr:colOff>
      <xdr:row>4</xdr:row>
      <xdr:rowOff>8437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086291-6F19-458B-BD7A-32A5A73C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2" y="182880"/>
          <a:ext cx="6960324" cy="5570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11</xdr:col>
      <xdr:colOff>552691</xdr:colOff>
      <xdr:row>31</xdr:row>
      <xdr:rowOff>170468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46E649-51D8-4D78-AB48-F3938AA76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59040"/>
          <a:ext cx="9269971" cy="536228"/>
        </a:xfrm>
        <a:prstGeom prst="rect">
          <a:avLst/>
        </a:prstGeom>
      </xdr:spPr>
    </xdr:pic>
    <xdr:clientData/>
  </xdr:twoCellAnchor>
  <xdr:twoCellAnchor editAs="oneCell">
    <xdr:from>
      <xdr:col>0</xdr:col>
      <xdr:colOff>8467</xdr:colOff>
      <xdr:row>50</xdr:row>
      <xdr:rowOff>101599</xdr:rowOff>
    </xdr:from>
    <xdr:to>
      <xdr:col>10</xdr:col>
      <xdr:colOff>728133</xdr:colOff>
      <xdr:row>53</xdr:row>
      <xdr:rowOff>168892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9934F8A-5781-45B3-8DA6-5BE837A9A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7" y="11371579"/>
          <a:ext cx="8644466" cy="615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12</xdr:col>
      <xdr:colOff>147403</xdr:colOff>
      <xdr:row>90</xdr:row>
      <xdr:rowOff>60410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21A7AA1-81A3-42E1-A513-BA4320E09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941540"/>
          <a:ext cx="9657163" cy="609051"/>
        </a:xfrm>
        <a:prstGeom prst="rect">
          <a:avLst/>
        </a:prstGeom>
      </xdr:spPr>
    </xdr:pic>
    <xdr:clientData/>
  </xdr:twoCellAnchor>
  <xdr:twoCellAnchor editAs="oneCell">
    <xdr:from>
      <xdr:col>2</xdr:col>
      <xdr:colOff>31751</xdr:colOff>
      <xdr:row>7</xdr:row>
      <xdr:rowOff>174625</xdr:rowOff>
    </xdr:from>
    <xdr:to>
      <xdr:col>5</xdr:col>
      <xdr:colOff>375018</xdr:colOff>
      <xdr:row>13</xdr:row>
      <xdr:rowOff>118749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D547FBA-06CB-4BF2-82A1-08C599A89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4231" y="989965"/>
          <a:ext cx="2720707" cy="1059334"/>
        </a:xfrm>
        <a:prstGeom prst="rect">
          <a:avLst/>
        </a:prstGeom>
      </xdr:spPr>
    </xdr:pic>
    <xdr:clientData/>
  </xdr:twoCellAnchor>
  <xdr:twoCellAnchor editAs="oneCell">
    <xdr:from>
      <xdr:col>2</xdr:col>
      <xdr:colOff>31751</xdr:colOff>
      <xdr:row>34</xdr:row>
      <xdr:rowOff>174625</xdr:rowOff>
    </xdr:from>
    <xdr:to>
      <xdr:col>5</xdr:col>
      <xdr:colOff>375018</xdr:colOff>
      <xdr:row>40</xdr:row>
      <xdr:rowOff>136679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2F69E1E-0E0A-4D78-B6F9-C81D8C01E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4231" y="989965"/>
          <a:ext cx="2720707" cy="1059334"/>
        </a:xfrm>
        <a:prstGeom prst="rect">
          <a:avLst/>
        </a:prstGeom>
      </xdr:spPr>
    </xdr:pic>
    <xdr:clientData/>
  </xdr:twoCellAnchor>
  <xdr:twoCellAnchor editAs="oneCell">
    <xdr:from>
      <xdr:col>2</xdr:col>
      <xdr:colOff>31751</xdr:colOff>
      <xdr:row>57</xdr:row>
      <xdr:rowOff>174625</xdr:rowOff>
    </xdr:from>
    <xdr:to>
      <xdr:col>5</xdr:col>
      <xdr:colOff>375018</xdr:colOff>
      <xdr:row>63</xdr:row>
      <xdr:rowOff>136679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1FA87F3-B7B9-4218-8EC8-565F0261F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9539" y="10295778"/>
          <a:ext cx="2709950" cy="1037819"/>
        </a:xfrm>
        <a:prstGeom prst="rect">
          <a:avLst/>
        </a:prstGeom>
      </xdr:spPr>
    </xdr:pic>
    <xdr:clientData/>
  </xdr:twoCellAnchor>
  <xdr:twoCellAnchor editAs="oneCell">
    <xdr:from>
      <xdr:col>2</xdr:col>
      <xdr:colOff>31751</xdr:colOff>
      <xdr:row>93</xdr:row>
      <xdr:rowOff>174625</xdr:rowOff>
    </xdr:from>
    <xdr:to>
      <xdr:col>5</xdr:col>
      <xdr:colOff>375018</xdr:colOff>
      <xdr:row>99</xdr:row>
      <xdr:rowOff>136679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5B4DFA5-FA26-4FF9-9BD8-D66B9B3B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4231" y="989965"/>
          <a:ext cx="2720707" cy="1059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1</xdr:row>
      <xdr:rowOff>0</xdr:rowOff>
    </xdr:from>
    <xdr:to>
      <xdr:col>9</xdr:col>
      <xdr:colOff>620486</xdr:colOff>
      <xdr:row>4</xdr:row>
      <xdr:rowOff>8437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D48A96-EE0A-4A97-B3D2-42F9F95CF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2" y="182880"/>
          <a:ext cx="6960324" cy="5570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11</xdr:col>
      <xdr:colOff>552691</xdr:colOff>
      <xdr:row>34</xdr:row>
      <xdr:rowOff>170468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AABBCD-EA18-4B63-9933-8AE1D74F3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59040"/>
          <a:ext cx="9269971" cy="536228"/>
        </a:xfrm>
        <a:prstGeom prst="rect">
          <a:avLst/>
        </a:prstGeom>
      </xdr:spPr>
    </xdr:pic>
    <xdr:clientData/>
  </xdr:twoCellAnchor>
  <xdr:twoCellAnchor editAs="oneCell">
    <xdr:from>
      <xdr:col>0</xdr:col>
      <xdr:colOff>8467</xdr:colOff>
      <xdr:row>53</xdr:row>
      <xdr:rowOff>101599</xdr:rowOff>
    </xdr:from>
    <xdr:to>
      <xdr:col>10</xdr:col>
      <xdr:colOff>728133</xdr:colOff>
      <xdr:row>56</xdr:row>
      <xdr:rowOff>168891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55504CC-7E06-4A0B-A759-0C141823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7" y="11371579"/>
          <a:ext cx="8644466" cy="615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12</xdr:col>
      <xdr:colOff>147403</xdr:colOff>
      <xdr:row>94</xdr:row>
      <xdr:rowOff>60411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37B3DF2-DF27-40A3-BE6E-9EEA12BDF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941540"/>
          <a:ext cx="9657163" cy="609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EAAC-D61B-48F9-8F50-3E6928F8801B}">
  <dimension ref="A7:S129"/>
  <sheetViews>
    <sheetView topLeftCell="A105" zoomScale="90" zoomScaleNormal="90" workbookViewId="0">
      <selection activeCell="D91" sqref="D91"/>
    </sheetView>
  </sheetViews>
  <sheetFormatPr baseColWidth="10" defaultRowHeight="14.4" x14ac:dyDescent="0.3"/>
  <sheetData>
    <row r="7" spans="2:16" x14ac:dyDescent="0.3">
      <c r="B7" t="s">
        <v>0</v>
      </c>
    </row>
    <row r="10" spans="2:16" x14ac:dyDescent="0.3">
      <c r="B10" s="10" t="s">
        <v>1</v>
      </c>
      <c r="C10" s="10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N10" s="1" t="s">
        <v>3</v>
      </c>
      <c r="O10" s="2" t="s">
        <v>6</v>
      </c>
      <c r="P10" s="2" t="s">
        <v>9</v>
      </c>
    </row>
    <row r="11" spans="2:16" x14ac:dyDescent="0.3">
      <c r="B11" s="2">
        <v>0</v>
      </c>
      <c r="C11" s="2">
        <f>B11^3-EXP(0.8*B11)-20</f>
        <v>-21</v>
      </c>
      <c r="E11" s="2">
        <v>0</v>
      </c>
      <c r="F11" s="2">
        <v>3</v>
      </c>
      <c r="G11" s="2">
        <v>4</v>
      </c>
      <c r="H11" s="2">
        <f t="shared" ref="H11:H22" si="0">(F11+G11)/2</f>
        <v>3.5</v>
      </c>
      <c r="I11" s="2">
        <f>F11^3-EXP(0.8*F11)-20</f>
        <v>-4.0231763806416048</v>
      </c>
      <c r="J11" s="2">
        <f>G11^3-EXP(0.8*G11)-20</f>
        <v>19.467469802890648</v>
      </c>
      <c r="K11" s="2">
        <f>H11^3-EXP(0.8*H11)-20</f>
        <v>6.4303532289029448</v>
      </c>
      <c r="L11" s="5">
        <v>5.0000000000000001E-3</v>
      </c>
      <c r="N11" s="2">
        <v>0</v>
      </c>
      <c r="O11" s="2">
        <v>3.5</v>
      </c>
      <c r="P11" s="2">
        <v>6.4303532289029448</v>
      </c>
    </row>
    <row r="12" spans="2:16" x14ac:dyDescent="0.3">
      <c r="B12" s="2">
        <v>1</v>
      </c>
      <c r="C12" s="2">
        <f t="shared" ref="C12:C19" si="1">B12^3-EXP(0.8*B12)-20</f>
        <v>-21.225540928492467</v>
      </c>
      <c r="E12" s="2">
        <v>1</v>
      </c>
      <c r="F12" s="2">
        <f>F11</f>
        <v>3</v>
      </c>
      <c r="G12" s="2">
        <f>H11</f>
        <v>3.5</v>
      </c>
      <c r="H12" s="2">
        <f t="shared" si="0"/>
        <v>3.25</v>
      </c>
      <c r="I12" s="2">
        <f t="shared" ref="I12:I22" si="2">F12^3-EXP(0.8*F12)-20</f>
        <v>-4.0231763806416048</v>
      </c>
      <c r="J12" s="2">
        <f t="shared" ref="J12:J22" si="3">G12^3-EXP(0.8*G12)-20</f>
        <v>6.4303532289029448</v>
      </c>
      <c r="K12" s="2">
        <f t="shared" ref="K12:K22" si="4">H12^3-EXP(0.8*H12)-20</f>
        <v>0.86438696499831025</v>
      </c>
      <c r="N12" s="2">
        <v>1</v>
      </c>
      <c r="O12" s="2">
        <v>3.25</v>
      </c>
      <c r="P12" s="2">
        <v>0.86438696499831025</v>
      </c>
    </row>
    <row r="13" spans="2:16" x14ac:dyDescent="0.3">
      <c r="B13" s="2">
        <v>2</v>
      </c>
      <c r="C13" s="2">
        <f t="shared" si="1"/>
        <v>-16.953032424395115</v>
      </c>
      <c r="E13" s="2">
        <v>2</v>
      </c>
      <c r="F13" s="2">
        <f>F12</f>
        <v>3</v>
      </c>
      <c r="G13" s="2">
        <f>H12</f>
        <v>3.25</v>
      </c>
      <c r="H13" s="2">
        <f t="shared" si="0"/>
        <v>3.125</v>
      </c>
      <c r="I13" s="2">
        <f t="shared" si="2"/>
        <v>-4.0231763806416048</v>
      </c>
      <c r="J13" s="2">
        <f t="shared" si="3"/>
        <v>0.86438696499831025</v>
      </c>
      <c r="K13" s="2">
        <f t="shared" si="4"/>
        <v>-1.664915835703475</v>
      </c>
      <c r="N13" s="2">
        <v>2</v>
      </c>
      <c r="O13" s="2">
        <v>3.125</v>
      </c>
      <c r="P13" s="2">
        <v>-1.664915835703475</v>
      </c>
    </row>
    <row r="14" spans="2:16" x14ac:dyDescent="0.3">
      <c r="B14" s="2">
        <v>3</v>
      </c>
      <c r="C14" s="11">
        <f t="shared" si="1"/>
        <v>-4.0231763806416048</v>
      </c>
      <c r="E14" s="2">
        <v>3</v>
      </c>
      <c r="F14" s="2">
        <f>H13</f>
        <v>3.125</v>
      </c>
      <c r="G14" s="2">
        <f>G13</f>
        <v>3.25</v>
      </c>
      <c r="H14" s="2">
        <f t="shared" si="0"/>
        <v>3.1875</v>
      </c>
      <c r="I14" s="2">
        <f t="shared" si="2"/>
        <v>-1.664915835703475</v>
      </c>
      <c r="J14" s="2">
        <f t="shared" si="3"/>
        <v>0.86438696499831025</v>
      </c>
      <c r="K14" s="2">
        <f t="shared" si="4"/>
        <v>-0.42160573578803451</v>
      </c>
      <c r="N14" s="2">
        <v>3</v>
      </c>
      <c r="O14" s="2">
        <v>3.1875</v>
      </c>
      <c r="P14" s="2">
        <v>-0.42160573578803451</v>
      </c>
    </row>
    <row r="15" spans="2:16" x14ac:dyDescent="0.3">
      <c r="B15" s="2">
        <v>4</v>
      </c>
      <c r="C15" s="11">
        <f t="shared" si="1"/>
        <v>19.467469802890648</v>
      </c>
      <c r="E15" s="2">
        <v>4</v>
      </c>
      <c r="F15" s="2">
        <f>H14</f>
        <v>3.1875</v>
      </c>
      <c r="G15" s="2">
        <f>G14</f>
        <v>3.25</v>
      </c>
      <c r="H15" s="2">
        <f t="shared" si="0"/>
        <v>3.21875</v>
      </c>
      <c r="I15" s="2">
        <f t="shared" si="2"/>
        <v>-0.42160573578803451</v>
      </c>
      <c r="J15" s="2">
        <f t="shared" si="3"/>
        <v>0.86438696499831025</v>
      </c>
      <c r="K15" s="2">
        <f t="shared" si="4"/>
        <v>0.21606443330685821</v>
      </c>
      <c r="N15" s="2">
        <v>4</v>
      </c>
      <c r="O15" s="2">
        <v>3.21875</v>
      </c>
      <c r="P15" s="2">
        <v>0.21606443330685821</v>
      </c>
    </row>
    <row r="16" spans="2:16" x14ac:dyDescent="0.3">
      <c r="B16" s="2">
        <v>5</v>
      </c>
      <c r="C16" s="2">
        <f t="shared" si="1"/>
        <v>50.401849966855764</v>
      </c>
      <c r="E16" s="2">
        <v>5</v>
      </c>
      <c r="F16" s="2">
        <f>F15</f>
        <v>3.1875</v>
      </c>
      <c r="G16" s="2">
        <f>H15</f>
        <v>3.21875</v>
      </c>
      <c r="H16" s="2">
        <f t="shared" si="0"/>
        <v>3.203125</v>
      </c>
      <c r="I16" s="2">
        <f t="shared" si="2"/>
        <v>-0.42160573578803451</v>
      </c>
      <c r="J16" s="2">
        <f t="shared" si="3"/>
        <v>0.21606443330685821</v>
      </c>
      <c r="K16" s="2">
        <f t="shared" si="4"/>
        <v>-0.10410353645155368</v>
      </c>
      <c r="N16" s="2">
        <v>5</v>
      </c>
      <c r="O16" s="2">
        <v>3.203125</v>
      </c>
      <c r="P16" s="2">
        <v>-0.10410353645155368</v>
      </c>
    </row>
    <row r="17" spans="2:16" x14ac:dyDescent="0.3">
      <c r="B17" s="2">
        <v>6</v>
      </c>
      <c r="C17" s="2">
        <f t="shared" si="1"/>
        <v>74.489582481265032</v>
      </c>
      <c r="E17" s="2">
        <v>6</v>
      </c>
      <c r="F17" s="2">
        <f>H16</f>
        <v>3.203125</v>
      </c>
      <c r="G17" s="2">
        <f>G16</f>
        <v>3.21875</v>
      </c>
      <c r="H17" s="2">
        <f t="shared" si="0"/>
        <v>3.2109375</v>
      </c>
      <c r="I17" s="2">
        <f t="shared" si="2"/>
        <v>-0.10410353645155368</v>
      </c>
      <c r="J17" s="2">
        <f t="shared" si="3"/>
        <v>0.21606443330685821</v>
      </c>
      <c r="K17" s="2">
        <f t="shared" si="4"/>
        <v>5.5647382134296208E-2</v>
      </c>
      <c r="N17" s="2">
        <v>6</v>
      </c>
      <c r="O17" s="2">
        <v>3.2109375</v>
      </c>
      <c r="P17" s="2">
        <v>5.5647382134296208E-2</v>
      </c>
    </row>
    <row r="18" spans="2:16" x14ac:dyDescent="0.3">
      <c r="B18" s="2">
        <v>7</v>
      </c>
      <c r="C18" s="11">
        <f t="shared" si="1"/>
        <v>52.573592573847236</v>
      </c>
      <c r="E18" s="2">
        <v>7</v>
      </c>
      <c r="F18" s="2">
        <f>F17</f>
        <v>3.203125</v>
      </c>
      <c r="G18" s="2">
        <f>H17</f>
        <v>3.2109375</v>
      </c>
      <c r="H18" s="2">
        <f t="shared" si="0"/>
        <v>3.20703125</v>
      </c>
      <c r="I18" s="2">
        <f t="shared" si="2"/>
        <v>-0.10410353645155368</v>
      </c>
      <c r="J18" s="2">
        <f t="shared" si="3"/>
        <v>5.5647382134296208E-2</v>
      </c>
      <c r="K18" s="2">
        <f t="shared" si="4"/>
        <v>-2.4311363882567605E-2</v>
      </c>
      <c r="N18" s="2">
        <v>7</v>
      </c>
      <c r="O18" s="2">
        <v>3.20703125</v>
      </c>
      <c r="P18" s="2">
        <v>-2.4311363882567605E-2</v>
      </c>
    </row>
    <row r="19" spans="2:16" x14ac:dyDescent="0.3">
      <c r="B19" s="2">
        <v>8</v>
      </c>
      <c r="C19" s="11">
        <f t="shared" si="1"/>
        <v>-109.84503787208223</v>
      </c>
      <c r="E19" s="2">
        <v>8</v>
      </c>
      <c r="F19" s="2">
        <f>H18</f>
        <v>3.20703125</v>
      </c>
      <c r="G19" s="2">
        <f>G18</f>
        <v>3.2109375</v>
      </c>
      <c r="H19" s="2">
        <f t="shared" si="0"/>
        <v>3.208984375</v>
      </c>
      <c r="I19" s="2">
        <f t="shared" si="2"/>
        <v>-2.4311363882567605E-2</v>
      </c>
      <c r="J19" s="2">
        <f t="shared" si="3"/>
        <v>5.5647382134296208E-2</v>
      </c>
      <c r="K19" s="2">
        <f t="shared" si="4"/>
        <v>1.5647189915139137E-2</v>
      </c>
      <c r="N19" s="2">
        <v>8</v>
      </c>
      <c r="O19" s="2">
        <v>3.208984375</v>
      </c>
      <c r="P19" s="2">
        <v>1.5647189915139137E-2</v>
      </c>
    </row>
    <row r="20" spans="2:16" x14ac:dyDescent="0.3">
      <c r="E20" s="2">
        <v>9</v>
      </c>
      <c r="F20" s="2">
        <f>F19</f>
        <v>3.20703125</v>
      </c>
      <c r="G20" s="2">
        <f>H19</f>
        <v>3.208984375</v>
      </c>
      <c r="H20" s="2">
        <f t="shared" si="0"/>
        <v>3.2080078125</v>
      </c>
      <c r="I20" s="2">
        <f t="shared" si="2"/>
        <v>-2.4311363882567605E-2</v>
      </c>
      <c r="J20" s="2">
        <f t="shared" si="3"/>
        <v>1.5647189915139137E-2</v>
      </c>
      <c r="K20" s="2">
        <f t="shared" si="4"/>
        <v>-4.3372920982065466E-3</v>
      </c>
      <c r="N20" s="2">
        <v>9</v>
      </c>
      <c r="O20" s="2">
        <v>3.2080078125</v>
      </c>
      <c r="P20" s="2">
        <v>-4.3372920982065466E-3</v>
      </c>
    </row>
    <row r="21" spans="2:16" x14ac:dyDescent="0.3">
      <c r="E21" s="2">
        <v>10</v>
      </c>
      <c r="F21" s="2">
        <f>H20</f>
        <v>3.2080078125</v>
      </c>
      <c r="G21" s="2">
        <f>G20</f>
        <v>3.208984375</v>
      </c>
      <c r="H21" s="2">
        <f t="shared" si="0"/>
        <v>3.20849609375</v>
      </c>
      <c r="I21" s="2">
        <f t="shared" si="2"/>
        <v>-4.3372920982065466E-3</v>
      </c>
      <c r="J21" s="2">
        <f t="shared" si="3"/>
        <v>1.5647189915139137E-2</v>
      </c>
      <c r="K21" s="2">
        <f t="shared" si="4"/>
        <v>5.6536476686304127E-3</v>
      </c>
      <c r="N21" s="2">
        <v>10</v>
      </c>
      <c r="O21" s="2">
        <v>3.20849609375</v>
      </c>
      <c r="P21" s="2">
        <v>5.6536476686304127E-3</v>
      </c>
    </row>
    <row r="22" spans="2:16" x14ac:dyDescent="0.3">
      <c r="E22" s="2">
        <v>11</v>
      </c>
      <c r="F22" s="2">
        <f t="shared" ref="F22" si="5">F21</f>
        <v>3.2080078125</v>
      </c>
      <c r="G22" s="2">
        <f t="shared" ref="G22" si="6">H21</f>
        <v>3.20849609375</v>
      </c>
      <c r="H22" s="3">
        <f t="shared" si="0"/>
        <v>3.208251953125</v>
      </c>
      <c r="I22" s="2">
        <f t="shared" si="2"/>
        <v>-4.3372920982065466E-3</v>
      </c>
      <c r="J22" s="2">
        <f t="shared" si="3"/>
        <v>5.6536476686304127E-3</v>
      </c>
      <c r="K22" s="2">
        <f t="shared" si="4"/>
        <v>6.5785247038974148E-4</v>
      </c>
      <c r="N22" s="2">
        <v>11</v>
      </c>
      <c r="O22" s="2">
        <v>3.208251953125</v>
      </c>
      <c r="P22" s="2">
        <v>6.5785247038974148E-4</v>
      </c>
    </row>
    <row r="23" spans="2:16" x14ac:dyDescent="0.3">
      <c r="H23" s="4" t="s">
        <v>11</v>
      </c>
    </row>
    <row r="25" spans="2:16" x14ac:dyDescent="0.3"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  <c r="N25" s="2" t="s">
        <v>3</v>
      </c>
      <c r="O25" s="2" t="s">
        <v>6</v>
      </c>
      <c r="P25" s="2" t="s">
        <v>9</v>
      </c>
    </row>
    <row r="26" spans="2:16" x14ac:dyDescent="0.3">
      <c r="E26" s="2">
        <v>0</v>
      </c>
      <c r="F26" s="2">
        <v>7</v>
      </c>
      <c r="G26" s="2">
        <v>8</v>
      </c>
      <c r="H26" s="2">
        <f t="shared" ref="H26:H37" si="7">(F26+G26)/2</f>
        <v>7.5</v>
      </c>
      <c r="I26" s="2">
        <f>F26^3-EXP(0.8*F26)-20</f>
        <v>52.573592573847236</v>
      </c>
      <c r="J26" s="2">
        <f>G26^3-EXP(0.8*G26)-20</f>
        <v>-109.84503787208223</v>
      </c>
      <c r="K26" s="2">
        <f>H26^3-EXP(0.8*H26)-20</f>
        <v>-1.5537934927351102</v>
      </c>
      <c r="L26" s="5">
        <v>5.0000000000000001E-3</v>
      </c>
      <c r="N26" s="2">
        <v>0</v>
      </c>
      <c r="O26" s="2">
        <v>7.5</v>
      </c>
      <c r="P26" s="2">
        <v>-1.5537934927351102</v>
      </c>
    </row>
    <row r="27" spans="2:16" x14ac:dyDescent="0.3">
      <c r="E27" s="2">
        <v>1</v>
      </c>
      <c r="F27" s="2">
        <f>F26</f>
        <v>7</v>
      </c>
      <c r="G27" s="2">
        <f>H26</f>
        <v>7.5</v>
      </c>
      <c r="H27" s="2">
        <f t="shared" si="7"/>
        <v>7.25</v>
      </c>
      <c r="I27" s="2">
        <f t="shared" ref="I27:I37" si="8">F27^3-EXP(0.8*F27)-20</f>
        <v>52.573592573847236</v>
      </c>
      <c r="J27" s="2">
        <f t="shared" ref="J27:J37" si="9">G27^3-EXP(0.8*G27)-20</f>
        <v>-1.5537934927351102</v>
      </c>
      <c r="K27" s="2">
        <f t="shared" ref="K27:K37" si="10">H27^3-EXP(0.8*H27)-20</f>
        <v>30.778565090351094</v>
      </c>
      <c r="N27" s="2">
        <v>1</v>
      </c>
      <c r="O27" s="2">
        <v>7.25</v>
      </c>
      <c r="P27" s="2">
        <v>30.778565090351094</v>
      </c>
    </row>
    <row r="28" spans="2:16" x14ac:dyDescent="0.3">
      <c r="E28" s="2">
        <v>2</v>
      </c>
      <c r="F28" s="2">
        <f>H27</f>
        <v>7.25</v>
      </c>
      <c r="G28" s="2">
        <f>G27</f>
        <v>7.5</v>
      </c>
      <c r="H28" s="2">
        <f t="shared" si="7"/>
        <v>7.375</v>
      </c>
      <c r="I28" s="2">
        <f t="shared" si="8"/>
        <v>30.778565090351094</v>
      </c>
      <c r="J28" s="2">
        <f t="shared" si="9"/>
        <v>-1.5537934927351102</v>
      </c>
      <c r="K28" s="2">
        <f t="shared" si="10"/>
        <v>16.093391509671108</v>
      </c>
      <c r="N28" s="2">
        <v>2</v>
      </c>
      <c r="O28" s="2">
        <v>7.375</v>
      </c>
      <c r="P28" s="2">
        <v>16.093391509671108</v>
      </c>
    </row>
    <row r="29" spans="2:16" x14ac:dyDescent="0.3">
      <c r="E29" s="2">
        <v>3</v>
      </c>
      <c r="F29" s="2">
        <f>H28</f>
        <v>7.375</v>
      </c>
      <c r="G29" s="2">
        <f>G28</f>
        <v>7.5</v>
      </c>
      <c r="H29" s="2">
        <f t="shared" si="7"/>
        <v>7.4375</v>
      </c>
      <c r="I29" s="2">
        <f t="shared" si="8"/>
        <v>16.093391509671108</v>
      </c>
      <c r="J29" s="2">
        <f t="shared" si="9"/>
        <v>-1.5537934927351102</v>
      </c>
      <c r="K29" s="2">
        <f t="shared" si="10"/>
        <v>7.6624324232631125</v>
      </c>
      <c r="N29" s="2">
        <v>3</v>
      </c>
      <c r="O29" s="2">
        <v>7.4375</v>
      </c>
      <c r="P29" s="2">
        <v>7.6624324232631125</v>
      </c>
    </row>
    <row r="30" spans="2:16" x14ac:dyDescent="0.3">
      <c r="E30" s="2">
        <v>4</v>
      </c>
      <c r="F30" s="2">
        <f>H29</f>
        <v>7.4375</v>
      </c>
      <c r="G30" s="2">
        <f>G29</f>
        <v>7.5</v>
      </c>
      <c r="H30" s="2">
        <f t="shared" si="7"/>
        <v>7.46875</v>
      </c>
      <c r="I30" s="2">
        <f t="shared" si="8"/>
        <v>7.6624324232631125</v>
      </c>
      <c r="J30" s="2">
        <f t="shared" si="9"/>
        <v>-1.5537934927351102</v>
      </c>
      <c r="K30" s="2">
        <f t="shared" si="10"/>
        <v>3.1554035475757587</v>
      </c>
      <c r="N30" s="2">
        <v>4</v>
      </c>
      <c r="O30" s="2">
        <v>7.46875</v>
      </c>
      <c r="P30" s="2">
        <v>3.1554035475757587</v>
      </c>
    </row>
    <row r="31" spans="2:16" x14ac:dyDescent="0.3">
      <c r="E31" s="2">
        <v>5</v>
      </c>
      <c r="F31" s="2">
        <f>H30</f>
        <v>7.46875</v>
      </c>
      <c r="G31" s="2">
        <f>G30</f>
        <v>7.5</v>
      </c>
      <c r="H31" s="2">
        <f t="shared" si="7"/>
        <v>7.484375</v>
      </c>
      <c r="I31" s="2">
        <f t="shared" si="8"/>
        <v>3.1554035475757587</v>
      </c>
      <c r="J31" s="2">
        <f t="shared" si="9"/>
        <v>-1.5537934927351102</v>
      </c>
      <c r="K31" s="2">
        <f t="shared" si="10"/>
        <v>0.8264500659092846</v>
      </c>
      <c r="N31" s="2">
        <v>5</v>
      </c>
      <c r="O31" s="2">
        <v>7.484375</v>
      </c>
      <c r="P31" s="2">
        <v>0.8264500659092846</v>
      </c>
    </row>
    <row r="32" spans="2:16" x14ac:dyDescent="0.3">
      <c r="E32" s="2">
        <v>6</v>
      </c>
      <c r="F32" s="2">
        <f>H31</f>
        <v>7.484375</v>
      </c>
      <c r="G32" s="2">
        <f>G31</f>
        <v>7.5</v>
      </c>
      <c r="H32" s="2">
        <f t="shared" si="7"/>
        <v>7.4921875</v>
      </c>
      <c r="I32" s="2">
        <f t="shared" si="8"/>
        <v>0.8264500659092846</v>
      </c>
      <c r="J32" s="2">
        <f t="shared" si="9"/>
        <v>-1.5537934927351102</v>
      </c>
      <c r="K32" s="2">
        <f t="shared" si="10"/>
        <v>-0.35721317290773413</v>
      </c>
      <c r="N32" s="2">
        <v>6</v>
      </c>
      <c r="O32" s="2">
        <v>7.4921875</v>
      </c>
      <c r="P32" s="2">
        <v>-0.35721317290773413</v>
      </c>
    </row>
    <row r="33" spans="1:19" x14ac:dyDescent="0.3">
      <c r="E33" s="2">
        <v>7</v>
      </c>
      <c r="F33" s="2">
        <f>F32</f>
        <v>7.484375</v>
      </c>
      <c r="G33" s="2">
        <f>H32</f>
        <v>7.4921875</v>
      </c>
      <c r="H33" s="2">
        <f t="shared" si="7"/>
        <v>7.48828125</v>
      </c>
      <c r="I33" s="2">
        <f t="shared" si="8"/>
        <v>0.8264500659092846</v>
      </c>
      <c r="J33" s="2">
        <f t="shared" si="9"/>
        <v>-0.35721317290773413</v>
      </c>
      <c r="K33" s="2">
        <f t="shared" si="10"/>
        <v>0.23622714772449172</v>
      </c>
      <c r="N33" s="2">
        <v>7</v>
      </c>
      <c r="O33" s="2">
        <v>7.48828125</v>
      </c>
      <c r="P33" s="2">
        <v>0.23622714772449172</v>
      </c>
    </row>
    <row r="34" spans="1:19" x14ac:dyDescent="0.3">
      <c r="E34" s="2">
        <v>8</v>
      </c>
      <c r="F34" s="2">
        <f>H33</f>
        <v>7.48828125</v>
      </c>
      <c r="G34" s="2">
        <f>G33</f>
        <v>7.4921875</v>
      </c>
      <c r="H34" s="2">
        <f t="shared" si="7"/>
        <v>7.490234375</v>
      </c>
      <c r="I34" s="2">
        <f t="shared" si="8"/>
        <v>0.23622714772449172</v>
      </c>
      <c r="J34" s="2">
        <f t="shared" si="9"/>
        <v>-0.35721317290773413</v>
      </c>
      <c r="K34" s="2">
        <f t="shared" si="10"/>
        <v>-6.0090097039847024E-2</v>
      </c>
      <c r="N34" s="2">
        <v>8</v>
      </c>
      <c r="O34" s="2">
        <v>7.490234375</v>
      </c>
      <c r="P34" s="2">
        <v>-6.0090097039847024E-2</v>
      </c>
    </row>
    <row r="35" spans="1:19" x14ac:dyDescent="0.3">
      <c r="E35" s="2">
        <v>9</v>
      </c>
      <c r="F35" s="2">
        <f>F34</f>
        <v>7.48828125</v>
      </c>
      <c r="G35" s="2">
        <f>H34</f>
        <v>7.490234375</v>
      </c>
      <c r="H35" s="2">
        <f t="shared" si="7"/>
        <v>7.4892578125</v>
      </c>
      <c r="I35" s="2">
        <f t="shared" si="8"/>
        <v>0.23622714772449172</v>
      </c>
      <c r="J35" s="2">
        <f t="shared" si="9"/>
        <v>-6.0090097039847024E-2</v>
      </c>
      <c r="K35" s="2">
        <f t="shared" si="10"/>
        <v>8.8169161606231228E-2</v>
      </c>
      <c r="N35" s="2">
        <v>9</v>
      </c>
      <c r="O35" s="2">
        <v>7.4892578125</v>
      </c>
      <c r="P35" s="2">
        <v>8.8169161606231228E-2</v>
      </c>
    </row>
    <row r="36" spans="1:19" x14ac:dyDescent="0.3">
      <c r="E36" s="2">
        <v>10</v>
      </c>
      <c r="F36" s="2">
        <f>H35</f>
        <v>7.4892578125</v>
      </c>
      <c r="G36" s="2">
        <f>G35</f>
        <v>7.490234375</v>
      </c>
      <c r="H36" s="2">
        <f t="shared" si="7"/>
        <v>7.48974609375</v>
      </c>
      <c r="I36" s="2">
        <f t="shared" si="8"/>
        <v>8.8169161606231228E-2</v>
      </c>
      <c r="J36" s="2">
        <f t="shared" si="9"/>
        <v>-6.0090097039847024E-2</v>
      </c>
      <c r="K36" s="2">
        <f t="shared" si="10"/>
        <v>1.406470292135964E-2</v>
      </c>
      <c r="N36" s="2">
        <v>10</v>
      </c>
      <c r="O36" s="2">
        <v>7.48974609375</v>
      </c>
      <c r="P36" s="2">
        <v>1.406470292135964E-2</v>
      </c>
    </row>
    <row r="37" spans="1:19" x14ac:dyDescent="0.3">
      <c r="E37" s="2">
        <v>11</v>
      </c>
      <c r="F37" s="2">
        <f>H36</f>
        <v>7.48974609375</v>
      </c>
      <c r="G37" s="2">
        <f>G36</f>
        <v>7.490234375</v>
      </c>
      <c r="H37" s="6">
        <f t="shared" si="7"/>
        <v>7.489990234375</v>
      </c>
      <c r="I37" s="2">
        <f t="shared" si="8"/>
        <v>1.406470292135964E-2</v>
      </c>
      <c r="J37" s="2">
        <f t="shared" si="9"/>
        <v>-6.0090097039847024E-2</v>
      </c>
      <c r="K37" s="2">
        <f t="shared" si="10"/>
        <v>-2.300640295266021E-2</v>
      </c>
      <c r="N37" s="2">
        <v>11</v>
      </c>
      <c r="O37" s="2">
        <v>7.489990234375</v>
      </c>
      <c r="P37" s="2">
        <v>-2.300640295266021E-2</v>
      </c>
    </row>
    <row r="38" spans="1:19" x14ac:dyDescent="0.3">
      <c r="E38" s="2">
        <v>12</v>
      </c>
      <c r="F38" s="2">
        <f>F37</f>
        <v>7.48974609375</v>
      </c>
      <c r="G38" s="2">
        <f>H37</f>
        <v>7.489990234375</v>
      </c>
      <c r="H38" s="3">
        <f t="shared" ref="H38" si="11">(F38+G38)/2</f>
        <v>7.4898681640625</v>
      </c>
      <c r="I38" s="2">
        <f t="shared" ref="I38" si="12">F38^3-EXP(0.8*F38)-20</f>
        <v>1.406470292135964E-2</v>
      </c>
      <c r="J38" s="2">
        <f t="shared" ref="J38" si="13">G38^3-EXP(0.8*G38)-20</f>
        <v>-2.300640295266021E-2</v>
      </c>
      <c r="K38" s="2">
        <f t="shared" ref="K38" si="14">H38^3-EXP(0.8*H38)-20</f>
        <v>-4.4692766700791253E-3</v>
      </c>
      <c r="N38" s="2">
        <v>12</v>
      </c>
      <c r="O38" s="2">
        <v>7.4898681640625</v>
      </c>
      <c r="P38" s="2">
        <v>-4.4692766700791253E-3</v>
      </c>
    </row>
    <row r="39" spans="1:19" x14ac:dyDescent="0.3">
      <c r="H39" s="4" t="s">
        <v>11</v>
      </c>
    </row>
    <row r="41" spans="1:19" ht="4.8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7" spans="1:19" x14ac:dyDescent="0.3">
      <c r="B47" s="8" t="s">
        <v>12</v>
      </c>
    </row>
    <row r="50" spans="1:19" x14ac:dyDescent="0.3">
      <c r="B50" s="10" t="s">
        <v>1</v>
      </c>
      <c r="C50" s="10" t="s">
        <v>2</v>
      </c>
      <c r="E50" s="1" t="s">
        <v>3</v>
      </c>
      <c r="F50" s="1" t="s">
        <v>4</v>
      </c>
      <c r="G50" s="1" t="s">
        <v>5</v>
      </c>
      <c r="H50" s="1" t="s">
        <v>6</v>
      </c>
      <c r="I50" s="1" t="s">
        <v>7</v>
      </c>
      <c r="J50" s="1" t="s">
        <v>8</v>
      </c>
      <c r="K50" s="1" t="s">
        <v>9</v>
      </c>
      <c r="L50" s="1" t="s">
        <v>10</v>
      </c>
      <c r="N50" s="2" t="s">
        <v>3</v>
      </c>
      <c r="O50" s="2" t="s">
        <v>6</v>
      </c>
      <c r="P50" s="2" t="s">
        <v>9</v>
      </c>
    </row>
    <row r="51" spans="1:19" x14ac:dyDescent="0.3">
      <c r="B51" s="2">
        <v>0</v>
      </c>
      <c r="C51" s="2">
        <f>3*SIN(0.5*B51)-0.5*B51+2</f>
        <v>2</v>
      </c>
      <c r="E51" s="2">
        <v>0</v>
      </c>
      <c r="F51" s="2">
        <v>5</v>
      </c>
      <c r="G51" s="2">
        <v>6</v>
      </c>
      <c r="H51" s="2">
        <f t="shared" ref="H51" si="15">(F51+G51)/2</f>
        <v>5.5</v>
      </c>
      <c r="I51" s="2">
        <f>3*SIN(0.5*F51)-0.5*F51+2</f>
        <v>1.2954164323118698</v>
      </c>
      <c r="J51" s="2">
        <f t="shared" ref="J51:K51" si="16">3*SIN(0.5*G51)-0.5*G51+2</f>
        <v>-0.57663997582039839</v>
      </c>
      <c r="K51" s="2">
        <f t="shared" si="16"/>
        <v>0.39498297615699496</v>
      </c>
      <c r="L51" s="5">
        <v>5.0000000000000001E-3</v>
      </c>
      <c r="N51" s="2">
        <v>0</v>
      </c>
      <c r="O51" s="2">
        <v>5.5</v>
      </c>
      <c r="P51" s="2">
        <v>0.39498297615699496</v>
      </c>
    </row>
    <row r="52" spans="1:19" x14ac:dyDescent="0.3">
      <c r="B52" s="2">
        <v>1</v>
      </c>
      <c r="C52" s="2">
        <f t="shared" ref="C52:C61" si="17">3*SIN(0.5*B52)-0.5*B52+2</f>
        <v>2.938276615812609</v>
      </c>
      <c r="E52" s="2">
        <v>1</v>
      </c>
      <c r="F52" s="2">
        <f>H51</f>
        <v>5.5</v>
      </c>
      <c r="G52" s="2">
        <f>G51</f>
        <v>6</v>
      </c>
      <c r="H52" s="2">
        <f t="shared" ref="H52:H58" si="18">(F52+G52)/2</f>
        <v>5.75</v>
      </c>
      <c r="I52" s="2">
        <f t="shared" ref="I52:I58" si="19">3*SIN(0.5*F52)-0.5*F52+2</f>
        <v>0.39498297615699496</v>
      </c>
      <c r="J52" s="2">
        <f t="shared" ref="J52:J58" si="20">3*SIN(0.5*G52)-0.5*G52+2</f>
        <v>-0.57663997582039839</v>
      </c>
      <c r="K52" s="2">
        <f t="shared" ref="K52:K58" si="21">3*SIN(0.5*H52)-0.5*H52+2</f>
        <v>-8.4662019909737651E-2</v>
      </c>
      <c r="N52" s="2">
        <v>1</v>
      </c>
      <c r="O52" s="2">
        <v>5.75</v>
      </c>
      <c r="P52" s="2">
        <v>-8.4662019909737651E-2</v>
      </c>
    </row>
    <row r="53" spans="1:19" x14ac:dyDescent="0.3">
      <c r="B53" s="2">
        <v>2</v>
      </c>
      <c r="C53" s="2">
        <f t="shared" si="17"/>
        <v>3.5244129544236893</v>
      </c>
      <c r="E53" s="2">
        <v>2</v>
      </c>
      <c r="F53" s="2">
        <f>F52</f>
        <v>5.5</v>
      </c>
      <c r="G53" s="2">
        <f>H52</f>
        <v>5.75</v>
      </c>
      <c r="H53" s="2">
        <f t="shared" si="18"/>
        <v>5.625</v>
      </c>
      <c r="I53" s="2">
        <f t="shared" si="19"/>
        <v>0.39498297615699496</v>
      </c>
      <c r="J53" s="2">
        <f t="shared" si="20"/>
        <v>-8.4662019909737651E-2</v>
      </c>
      <c r="K53" s="2">
        <f t="shared" si="21"/>
        <v>0.15705352099906067</v>
      </c>
      <c r="N53" s="2">
        <v>2</v>
      </c>
      <c r="O53" s="2">
        <v>5.625</v>
      </c>
      <c r="P53" s="2">
        <v>0.15705352099906067</v>
      </c>
    </row>
    <row r="54" spans="1:19" x14ac:dyDescent="0.3">
      <c r="B54" s="2">
        <v>3</v>
      </c>
      <c r="C54" s="2">
        <f t="shared" si="17"/>
        <v>3.4924849598121632</v>
      </c>
      <c r="E54" s="2">
        <v>3</v>
      </c>
      <c r="F54" s="2">
        <f>H53</f>
        <v>5.625</v>
      </c>
      <c r="G54" s="2">
        <f>G53</f>
        <v>5.75</v>
      </c>
      <c r="H54" s="2">
        <f t="shared" si="18"/>
        <v>5.6875</v>
      </c>
      <c r="I54" s="2">
        <f t="shared" si="19"/>
        <v>0.15705352099906067</v>
      </c>
      <c r="J54" s="2">
        <f t="shared" si="20"/>
        <v>-8.4662019909737651E-2</v>
      </c>
      <c r="K54" s="2">
        <f t="shared" si="21"/>
        <v>3.6625586454641201E-2</v>
      </c>
      <c r="N54" s="2">
        <v>3</v>
      </c>
      <c r="O54" s="2">
        <v>5.6875</v>
      </c>
      <c r="P54" s="2">
        <v>3.6625586454641201E-2</v>
      </c>
    </row>
    <row r="55" spans="1:19" x14ac:dyDescent="0.3">
      <c r="B55" s="2">
        <v>4</v>
      </c>
      <c r="C55" s="2">
        <f t="shared" si="17"/>
        <v>2.7278922804770449</v>
      </c>
      <c r="E55" s="2">
        <v>4</v>
      </c>
      <c r="F55" s="2">
        <f>H54</f>
        <v>5.6875</v>
      </c>
      <c r="G55" s="2">
        <f>G54</f>
        <v>5.75</v>
      </c>
      <c r="H55" s="2">
        <f t="shared" si="18"/>
        <v>5.71875</v>
      </c>
      <c r="I55" s="2">
        <f t="shared" si="19"/>
        <v>3.6625586454641201E-2</v>
      </c>
      <c r="J55" s="2">
        <f t="shared" si="20"/>
        <v>-8.4662019909737651E-2</v>
      </c>
      <c r="K55" s="2">
        <f t="shared" si="21"/>
        <v>-2.3916234089780275E-2</v>
      </c>
      <c r="N55" s="2">
        <v>4</v>
      </c>
      <c r="O55" s="2">
        <v>5.71875</v>
      </c>
      <c r="P55" s="2">
        <v>-2.3916234089780275E-2</v>
      </c>
    </row>
    <row r="56" spans="1:19" x14ac:dyDescent="0.3">
      <c r="B56" s="2">
        <v>5</v>
      </c>
      <c r="C56" s="11">
        <f t="shared" si="17"/>
        <v>1.2954164323118698</v>
      </c>
      <c r="E56" s="2">
        <v>5</v>
      </c>
      <c r="F56" s="2">
        <f>F55</f>
        <v>5.6875</v>
      </c>
      <c r="G56" s="2">
        <f>H55</f>
        <v>5.71875</v>
      </c>
      <c r="H56" s="2">
        <f t="shared" si="18"/>
        <v>5.703125</v>
      </c>
      <c r="I56" s="2">
        <f t="shared" si="19"/>
        <v>3.6625586454641201E-2</v>
      </c>
      <c r="J56" s="2">
        <f t="shared" si="20"/>
        <v>-2.3916234089780275E-2</v>
      </c>
      <c r="K56" s="2">
        <f t="shared" si="21"/>
        <v>6.3808584027273962E-3</v>
      </c>
      <c r="N56" s="2">
        <v>5</v>
      </c>
      <c r="O56" s="2">
        <v>5.703125</v>
      </c>
      <c r="P56" s="2">
        <v>6.3808584027273962E-3</v>
      </c>
    </row>
    <row r="57" spans="1:19" x14ac:dyDescent="0.3">
      <c r="B57" s="2">
        <v>6</v>
      </c>
      <c r="C57" s="11">
        <f t="shared" si="17"/>
        <v>-0.57663997582039839</v>
      </c>
      <c r="E57" s="2">
        <v>6</v>
      </c>
      <c r="F57" s="2">
        <f>H56</f>
        <v>5.703125</v>
      </c>
      <c r="G57" s="2">
        <f>G56</f>
        <v>5.71875</v>
      </c>
      <c r="H57" s="2">
        <f t="shared" si="18"/>
        <v>5.7109375</v>
      </c>
      <c r="I57" s="2">
        <f t="shared" si="19"/>
        <v>6.3808584027273962E-3</v>
      </c>
      <c r="J57" s="2">
        <f t="shared" si="20"/>
        <v>-2.3916234089780275E-2</v>
      </c>
      <c r="K57" s="2">
        <f t="shared" si="21"/>
        <v>-8.7612279860023179E-3</v>
      </c>
      <c r="N57" s="2">
        <v>6</v>
      </c>
      <c r="O57" s="2">
        <v>5.7109375</v>
      </c>
      <c r="P57" s="2">
        <v>-8.7612279860023179E-3</v>
      </c>
    </row>
    <row r="58" spans="1:19" x14ac:dyDescent="0.3">
      <c r="B58" s="2">
        <v>7</v>
      </c>
      <c r="C58" s="2">
        <f t="shared" si="17"/>
        <v>-2.5523496830688597</v>
      </c>
      <c r="E58" s="2">
        <v>7</v>
      </c>
      <c r="F58" s="2">
        <f>F57</f>
        <v>5.703125</v>
      </c>
      <c r="G58" s="2">
        <f>H57</f>
        <v>5.7109375</v>
      </c>
      <c r="H58" s="9">
        <f t="shared" si="18"/>
        <v>5.70703125</v>
      </c>
      <c r="I58" s="2">
        <f t="shared" si="19"/>
        <v>6.3808584027273962E-3</v>
      </c>
      <c r="J58" s="2">
        <f t="shared" si="20"/>
        <v>-8.7612279860023179E-3</v>
      </c>
      <c r="K58" s="2">
        <f t="shared" si="21"/>
        <v>-1.1885591072906543E-3</v>
      </c>
      <c r="N58" s="2">
        <v>7</v>
      </c>
      <c r="O58" s="2">
        <v>5.70703125</v>
      </c>
      <c r="P58" s="2">
        <v>-1.1885591072906543E-3</v>
      </c>
    </row>
    <row r="59" spans="1:19" x14ac:dyDescent="0.3">
      <c r="B59" s="2">
        <v>8</v>
      </c>
      <c r="C59" s="2">
        <f t="shared" si="17"/>
        <v>-4.2704074859237844</v>
      </c>
      <c r="H59" s="4" t="s">
        <v>11</v>
      </c>
    </row>
    <row r="60" spans="1:19" x14ac:dyDescent="0.3">
      <c r="B60" s="2">
        <v>9</v>
      </c>
      <c r="C60" s="2">
        <f t="shared" si="17"/>
        <v>-5.432590352995291</v>
      </c>
    </row>
    <row r="61" spans="1:19" x14ac:dyDescent="0.3">
      <c r="B61" s="2">
        <v>10</v>
      </c>
      <c r="C61" s="2">
        <f t="shared" si="17"/>
        <v>-5.8767728239894153</v>
      </c>
    </row>
    <row r="63" spans="1:19" ht="4.2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70" spans="1:16" x14ac:dyDescent="0.3">
      <c r="A70" s="8" t="s">
        <v>13</v>
      </c>
    </row>
    <row r="72" spans="1:16" x14ac:dyDescent="0.3">
      <c r="B72" s="10" t="s">
        <v>1</v>
      </c>
      <c r="C72" s="10" t="s">
        <v>2</v>
      </c>
      <c r="E72" s="1" t="s">
        <v>3</v>
      </c>
      <c r="F72" s="1" t="s">
        <v>4</v>
      </c>
      <c r="G72" s="1" t="s">
        <v>5</v>
      </c>
      <c r="H72" s="1" t="s">
        <v>6</v>
      </c>
      <c r="I72" s="1" t="s">
        <v>7</v>
      </c>
      <c r="J72" s="1" t="s">
        <v>8</v>
      </c>
      <c r="K72" s="1" t="s">
        <v>9</v>
      </c>
      <c r="L72" s="1" t="s">
        <v>10</v>
      </c>
      <c r="N72" s="2" t="s">
        <v>3</v>
      </c>
      <c r="O72" s="2" t="s">
        <v>6</v>
      </c>
      <c r="P72" s="2" t="s">
        <v>9</v>
      </c>
    </row>
    <row r="73" spans="1:16" x14ac:dyDescent="0.3">
      <c r="B73" s="2">
        <v>-3</v>
      </c>
      <c r="C73" s="2">
        <f>B73^3 - B73^2*EXP(-0.5*B73) - 3*B73 + 1</f>
        <v>-57.335201633042573</v>
      </c>
      <c r="E73" s="2">
        <v>0</v>
      </c>
      <c r="F73" s="2">
        <v>-2</v>
      </c>
      <c r="G73" s="2">
        <v>-1</v>
      </c>
      <c r="H73" s="2">
        <f t="shared" ref="H73" si="22">(F73+G73)/2</f>
        <v>-1.5</v>
      </c>
      <c r="I73" s="2">
        <f>F73^3 - F73^2*EXP(-0.5*F73) - 3*F73 + 1</f>
        <v>-11.873127313836179</v>
      </c>
      <c r="J73" s="2">
        <f t="shared" ref="J73:K73" si="23">G73^3 - G73^2*EXP(-0.5*G73) - 3*G73 + 1</f>
        <v>1.3512787292998718</v>
      </c>
      <c r="K73" s="2">
        <f t="shared" si="23"/>
        <v>-2.6382500373785192</v>
      </c>
      <c r="L73" s="5">
        <v>5.0000000000000001E-3</v>
      </c>
      <c r="N73" s="2">
        <v>0</v>
      </c>
      <c r="O73" s="2">
        <v>-1.5</v>
      </c>
      <c r="P73" s="2">
        <v>-2.6382500373785192</v>
      </c>
    </row>
    <row r="74" spans="1:16" x14ac:dyDescent="0.3">
      <c r="B74" s="2">
        <v>-2</v>
      </c>
      <c r="C74" s="20">
        <f t="shared" ref="C74:C79" si="24">B74^3 - B74^2*EXP(-0.5*B74) - 3*B74 + 1</f>
        <v>-11.873127313836179</v>
      </c>
      <c r="E74" s="2">
        <v>1</v>
      </c>
      <c r="F74" s="2">
        <f>H73</f>
        <v>-1.5</v>
      </c>
      <c r="G74" s="2">
        <f>G73</f>
        <v>-1</v>
      </c>
      <c r="H74" s="2">
        <f t="shared" ref="H74:H80" si="25">(F74+G74)/2</f>
        <v>-1.25</v>
      </c>
      <c r="I74" s="2">
        <f t="shared" ref="I74:I80" si="26">F74^3 - F74^2*EXP(-0.5*F74) - 3*F74 + 1</f>
        <v>-2.6382500373785192</v>
      </c>
      <c r="J74" s="2">
        <f t="shared" ref="J74:J80" si="27">G74^3 - G74^2*EXP(-0.5*G74) - 3*G74 + 1</f>
        <v>1.3512787292998718</v>
      </c>
      <c r="K74" s="2">
        <f t="shared" ref="K74:K80" si="28">H74^3 - H74^2*EXP(-0.5*H74) - 3*H74 + 1</f>
        <v>-0.12225930848784738</v>
      </c>
      <c r="N74" s="2">
        <v>1</v>
      </c>
      <c r="O74" s="2">
        <v>-1.25</v>
      </c>
      <c r="P74" s="2">
        <v>-0.12225930848784738</v>
      </c>
    </row>
    <row r="75" spans="1:16" x14ac:dyDescent="0.3">
      <c r="B75" s="2">
        <v>-1</v>
      </c>
      <c r="C75" s="20">
        <f t="shared" si="24"/>
        <v>1.3512787292998718</v>
      </c>
      <c r="E75" s="2">
        <v>2</v>
      </c>
      <c r="F75" s="2">
        <f>H74</f>
        <v>-1.25</v>
      </c>
      <c r="G75" s="2">
        <f>G74</f>
        <v>-1</v>
      </c>
      <c r="H75" s="2">
        <f t="shared" si="25"/>
        <v>-1.125</v>
      </c>
      <c r="I75" s="2">
        <f t="shared" si="26"/>
        <v>-0.12225930848784738</v>
      </c>
      <c r="J75" s="2">
        <f t="shared" si="27"/>
        <v>1.3512787292998718</v>
      </c>
      <c r="K75" s="2">
        <f t="shared" si="28"/>
        <v>0.72993082478462235</v>
      </c>
      <c r="N75" s="2">
        <v>2</v>
      </c>
      <c r="O75" s="2">
        <v>-1.125</v>
      </c>
      <c r="P75" s="2">
        <v>0.72993082478462235</v>
      </c>
    </row>
    <row r="76" spans="1:16" x14ac:dyDescent="0.3">
      <c r="B76" s="2">
        <v>0</v>
      </c>
      <c r="C76" s="21">
        <f t="shared" si="24"/>
        <v>1</v>
      </c>
      <c r="D76" s="23"/>
      <c r="E76" s="2">
        <v>3</v>
      </c>
      <c r="F76" s="2">
        <f>F75</f>
        <v>-1.25</v>
      </c>
      <c r="G76" s="2">
        <f>I75</f>
        <v>-0.12225930848784738</v>
      </c>
      <c r="H76" s="2">
        <f t="shared" si="25"/>
        <v>-0.68612965424392369</v>
      </c>
      <c r="I76" s="2">
        <f t="shared" si="26"/>
        <v>-0.12225930848784738</v>
      </c>
      <c r="J76" s="2">
        <f t="shared" si="27"/>
        <v>1.3490609043024024</v>
      </c>
      <c r="K76" s="2">
        <f t="shared" si="28"/>
        <v>2.0719341428910294</v>
      </c>
      <c r="N76" s="2">
        <v>3</v>
      </c>
      <c r="O76" s="2">
        <v>-0.68612965424392369</v>
      </c>
      <c r="P76" s="2">
        <v>2.0719341428910294</v>
      </c>
    </row>
    <row r="77" spans="1:16" x14ac:dyDescent="0.3">
      <c r="B77" s="2">
        <v>1</v>
      </c>
      <c r="C77" s="22">
        <f t="shared" si="24"/>
        <v>-1.6065306597126332</v>
      </c>
      <c r="D77" s="23"/>
      <c r="E77" s="2">
        <v>4</v>
      </c>
      <c r="F77" s="2">
        <f>F76</f>
        <v>-1.25</v>
      </c>
      <c r="G77" s="2">
        <f>H76</f>
        <v>-0.68612965424392369</v>
      </c>
      <c r="H77" s="2">
        <f t="shared" si="25"/>
        <v>-0.96806482712196185</v>
      </c>
      <c r="I77" s="2">
        <f t="shared" si="26"/>
        <v>-0.12225930848784738</v>
      </c>
      <c r="J77" s="2">
        <f t="shared" si="27"/>
        <v>2.0719341428910294</v>
      </c>
      <c r="K77" s="2">
        <f t="shared" si="28"/>
        <v>1.476350236575271</v>
      </c>
      <c r="N77" s="2">
        <v>4</v>
      </c>
      <c r="O77" s="2">
        <v>-0.96806482712196185</v>
      </c>
      <c r="P77" s="2">
        <v>1.476350236575271</v>
      </c>
    </row>
    <row r="78" spans="1:16" x14ac:dyDescent="0.3">
      <c r="B78" s="2">
        <v>2</v>
      </c>
      <c r="C78" s="22">
        <f t="shared" si="24"/>
        <v>1.5284822353142307</v>
      </c>
      <c r="E78" s="2">
        <v>5</v>
      </c>
      <c r="F78" s="2">
        <f>F77</f>
        <v>-1.25</v>
      </c>
      <c r="G78" s="2">
        <f>H77</f>
        <v>-0.96806482712196185</v>
      </c>
      <c r="H78" s="2">
        <f t="shared" si="25"/>
        <v>-1.109032413560981</v>
      </c>
      <c r="I78" s="2">
        <f t="shared" si="26"/>
        <v>-0.12225930848784738</v>
      </c>
      <c r="J78" s="2">
        <f t="shared" si="27"/>
        <v>1.476350236575271</v>
      </c>
      <c r="K78" s="2">
        <f t="shared" si="28"/>
        <v>0.8215705366174797</v>
      </c>
      <c r="N78" s="2">
        <v>5</v>
      </c>
      <c r="O78" s="2">
        <v>-1.109032413560981</v>
      </c>
      <c r="P78" s="2">
        <v>0.8215705366174797</v>
      </c>
    </row>
    <row r="79" spans="1:16" x14ac:dyDescent="0.3">
      <c r="B79" s="2">
        <v>3</v>
      </c>
      <c r="C79" s="13">
        <f t="shared" si="24"/>
        <v>16.991828558664132</v>
      </c>
      <c r="E79" s="2">
        <v>6</v>
      </c>
      <c r="F79" s="2">
        <f>F78</f>
        <v>-1.25</v>
      </c>
      <c r="G79" s="2">
        <f>H78</f>
        <v>-1.109032413560981</v>
      </c>
      <c r="H79" s="2">
        <f t="shared" si="25"/>
        <v>-1.1795162067804905</v>
      </c>
      <c r="I79" s="2">
        <f t="shared" si="26"/>
        <v>-0.12225930848784738</v>
      </c>
      <c r="J79" s="2">
        <f t="shared" si="27"/>
        <v>0.8215705366174797</v>
      </c>
      <c r="K79" s="2">
        <f t="shared" si="28"/>
        <v>0.38832955059574337</v>
      </c>
      <c r="N79" s="2">
        <v>6</v>
      </c>
      <c r="O79" s="2">
        <v>-1.1795162067804905</v>
      </c>
      <c r="P79" s="2">
        <v>0.38832955059574337</v>
      </c>
    </row>
    <row r="80" spans="1:16" x14ac:dyDescent="0.3">
      <c r="C80" s="12"/>
      <c r="E80" s="2">
        <v>7</v>
      </c>
      <c r="F80" s="2">
        <f>F79</f>
        <v>-1.25</v>
      </c>
      <c r="G80" s="2">
        <f>H79</f>
        <v>-1.1795162067804905</v>
      </c>
      <c r="H80" s="2">
        <f t="shared" si="25"/>
        <v>-1.2147581033902453</v>
      </c>
      <c r="I80" s="2">
        <f t="shared" si="26"/>
        <v>-0.12225930848784738</v>
      </c>
      <c r="J80" s="2">
        <f t="shared" si="27"/>
        <v>0.38832955059574337</v>
      </c>
      <c r="K80" s="2">
        <f t="shared" si="28"/>
        <v>0.14303155123844835</v>
      </c>
      <c r="N80" s="2">
        <v>7</v>
      </c>
      <c r="O80" s="2">
        <v>-1.2147581033902453</v>
      </c>
      <c r="P80" s="2">
        <v>0.14303155123844835</v>
      </c>
    </row>
    <row r="81" spans="5:16" x14ac:dyDescent="0.3">
      <c r="E81" s="2">
        <v>8</v>
      </c>
      <c r="F81" s="2">
        <f t="shared" ref="F81:F82" si="29">F80</f>
        <v>-1.25</v>
      </c>
      <c r="G81" s="2">
        <f t="shared" ref="G81:G82" si="30">H80</f>
        <v>-1.2147581033902453</v>
      </c>
      <c r="H81" s="2">
        <f t="shared" ref="H81:H84" si="31">(F81+G81)/2</f>
        <v>-1.2323790516951227</v>
      </c>
      <c r="I81" s="2">
        <f t="shared" ref="I81:I84" si="32">F81^3 - F81^2*EXP(-0.5*F81) - 3*F81 + 1</f>
        <v>-0.12225930848784738</v>
      </c>
      <c r="J81" s="2">
        <f t="shared" ref="J81:J84" si="33">G81^3 - G81^2*EXP(-0.5*G81) - 3*G81 + 1</f>
        <v>0.14303155123844835</v>
      </c>
      <c r="K81" s="2">
        <f t="shared" ref="K81:K84" si="34">H81^3 - H81^2*EXP(-0.5*H81) - 3*H81 + 1</f>
        <v>1.2926880219264802E-2</v>
      </c>
      <c r="N81" s="2">
        <v>8</v>
      </c>
      <c r="O81" s="2">
        <v>-1.2323790516951227</v>
      </c>
      <c r="P81" s="2">
        <v>1.2926880219264802E-2</v>
      </c>
    </row>
    <row r="82" spans="5:16" x14ac:dyDescent="0.3">
      <c r="E82" s="2">
        <v>9</v>
      </c>
      <c r="F82" s="2">
        <f t="shared" si="29"/>
        <v>-1.25</v>
      </c>
      <c r="G82" s="2">
        <f t="shared" si="30"/>
        <v>-1.2323790516951227</v>
      </c>
      <c r="H82" s="2">
        <f t="shared" si="31"/>
        <v>-1.2411895258475614</v>
      </c>
      <c r="I82" s="2">
        <f t="shared" si="32"/>
        <v>-0.12225930848784738</v>
      </c>
      <c r="J82" s="2">
        <f t="shared" si="33"/>
        <v>1.2926880219264802E-2</v>
      </c>
      <c r="K82" s="2">
        <f t="shared" si="34"/>
        <v>-5.4025776044066554E-2</v>
      </c>
      <c r="N82" s="2">
        <v>9</v>
      </c>
      <c r="O82" s="2">
        <v>-1.2411895258475614</v>
      </c>
      <c r="P82" s="2">
        <v>-5.4025776044066554E-2</v>
      </c>
    </row>
    <row r="83" spans="5:16" x14ac:dyDescent="0.3">
      <c r="E83" s="2">
        <v>10</v>
      </c>
      <c r="F83" s="2">
        <f>H82</f>
        <v>-1.2411895258475614</v>
      </c>
      <c r="G83" s="2">
        <f>G82</f>
        <v>-1.2323790516951227</v>
      </c>
      <c r="H83" s="2">
        <f t="shared" si="31"/>
        <v>-1.2367842887713421</v>
      </c>
      <c r="I83" s="2">
        <f t="shared" si="32"/>
        <v>-5.4025776044066554E-2</v>
      </c>
      <c r="J83" s="2">
        <f t="shared" si="33"/>
        <v>1.2926880219264802E-2</v>
      </c>
      <c r="K83" s="2">
        <f t="shared" si="34"/>
        <v>-2.038999632726135E-2</v>
      </c>
      <c r="N83" s="2">
        <v>10</v>
      </c>
      <c r="O83" s="2">
        <v>-1.2367842887713421</v>
      </c>
      <c r="P83" s="2">
        <v>-2.038999632726135E-2</v>
      </c>
    </row>
    <row r="84" spans="5:16" x14ac:dyDescent="0.3">
      <c r="E84" s="2">
        <v>11</v>
      </c>
      <c r="F84" s="2">
        <f>H83</f>
        <v>-1.2367842887713421</v>
      </c>
      <c r="G84" s="2">
        <f>G83</f>
        <v>-1.2323790516951227</v>
      </c>
      <c r="H84" s="9">
        <f t="shared" si="31"/>
        <v>-1.2345816702332324</v>
      </c>
      <c r="I84" s="2">
        <f t="shared" si="32"/>
        <v>-2.038999632726135E-2</v>
      </c>
      <c r="J84" s="2">
        <f t="shared" si="33"/>
        <v>1.2926880219264802E-2</v>
      </c>
      <c r="K84" s="2">
        <f t="shared" si="34"/>
        <v>-3.6917772340117061E-3</v>
      </c>
      <c r="N84" s="2">
        <v>11</v>
      </c>
      <c r="O84" s="2">
        <v>-1.2345816702332324</v>
      </c>
      <c r="P84" s="2">
        <v>-3.6917772340117061E-3</v>
      </c>
    </row>
    <row r="85" spans="5:16" x14ac:dyDescent="0.3">
      <c r="H85" s="4" t="s">
        <v>11</v>
      </c>
    </row>
    <row r="87" spans="5:16" x14ac:dyDescent="0.3">
      <c r="E87" s="1" t="s">
        <v>3</v>
      </c>
      <c r="F87" s="1" t="s">
        <v>4</v>
      </c>
      <c r="G87" s="1" t="s">
        <v>5</v>
      </c>
      <c r="H87" s="1" t="s">
        <v>6</v>
      </c>
      <c r="I87" s="1" t="s">
        <v>7</v>
      </c>
      <c r="J87" s="1" t="s">
        <v>8</v>
      </c>
      <c r="K87" s="1" t="s">
        <v>9</v>
      </c>
      <c r="L87" s="1" t="s">
        <v>10</v>
      </c>
      <c r="N87" s="1" t="s">
        <v>3</v>
      </c>
      <c r="O87" s="2" t="s">
        <v>6</v>
      </c>
      <c r="P87" s="2" t="s">
        <v>9</v>
      </c>
    </row>
    <row r="88" spans="5:16" x14ac:dyDescent="0.3">
      <c r="E88" s="2">
        <v>0</v>
      </c>
      <c r="F88" s="2">
        <v>0</v>
      </c>
      <c r="G88" s="2">
        <v>1</v>
      </c>
      <c r="H88" s="2">
        <f t="shared" ref="H88:H91" si="35">(F88+G88)/2</f>
        <v>0.5</v>
      </c>
      <c r="I88" s="2">
        <f>F88^3 - F88^2*EXP(-0.5*F88) - 3*F88 + 1</f>
        <v>1</v>
      </c>
      <c r="J88" s="2">
        <f t="shared" ref="J88:J91" si="36">G88^3 - G88^2*EXP(-0.5*G88) - 3*G88 + 1</f>
        <v>-1.6065306597126332</v>
      </c>
      <c r="K88" s="2">
        <f t="shared" ref="K88:K91" si="37">H88^3 - H88^2*EXP(-0.5*H88) - 3*H88 + 1</f>
        <v>-0.56970019576785114</v>
      </c>
      <c r="L88" s="5">
        <v>5.0000000000000001E-3</v>
      </c>
      <c r="N88" s="2">
        <v>0</v>
      </c>
      <c r="O88" s="2">
        <v>0.5</v>
      </c>
      <c r="P88" s="2">
        <v>-0.56970019576785114</v>
      </c>
    </row>
    <row r="89" spans="5:16" x14ac:dyDescent="0.3">
      <c r="E89" s="2">
        <v>1</v>
      </c>
      <c r="F89" s="2">
        <f>F88</f>
        <v>0</v>
      </c>
      <c r="G89" s="2">
        <f>H88</f>
        <v>0.5</v>
      </c>
      <c r="H89" s="2">
        <f t="shared" si="35"/>
        <v>0.25</v>
      </c>
      <c r="I89" s="2">
        <f t="shared" ref="I89:I91" si="38">F89^3 - F89^2*EXP(-0.5*F89) - 3*F89 + 1</f>
        <v>1</v>
      </c>
      <c r="J89" s="2">
        <f t="shared" si="36"/>
        <v>-0.56970019576785114</v>
      </c>
      <c r="K89" s="2">
        <f t="shared" si="37"/>
        <v>0.2104689435884628</v>
      </c>
      <c r="N89" s="2">
        <v>1</v>
      </c>
      <c r="O89" s="2">
        <v>0.25</v>
      </c>
      <c r="P89" s="2">
        <v>0.2104689435884628</v>
      </c>
    </row>
    <row r="90" spans="5:16" x14ac:dyDescent="0.3">
      <c r="E90" s="2">
        <v>2</v>
      </c>
      <c r="F90" s="2">
        <f>H89</f>
        <v>0.25</v>
      </c>
      <c r="G90" s="2">
        <f>G89</f>
        <v>0.5</v>
      </c>
      <c r="H90" s="2">
        <f t="shared" si="35"/>
        <v>0.375</v>
      </c>
      <c r="I90" s="2">
        <f t="shared" si="38"/>
        <v>0.2104689435884628</v>
      </c>
      <c r="J90" s="2">
        <f t="shared" si="36"/>
        <v>-0.56970019576785114</v>
      </c>
      <c r="K90" s="2">
        <f t="shared" si="37"/>
        <v>-0.18884784474411886</v>
      </c>
      <c r="N90" s="2">
        <v>2</v>
      </c>
      <c r="O90" s="2">
        <v>0.375</v>
      </c>
      <c r="P90" s="2">
        <v>-0.18884784474411886</v>
      </c>
    </row>
    <row r="91" spans="5:16" x14ac:dyDescent="0.3">
      <c r="E91" s="2">
        <v>3</v>
      </c>
      <c r="F91" s="2">
        <f>F90</f>
        <v>0.25</v>
      </c>
      <c r="G91" s="2">
        <f>H90</f>
        <v>0.375</v>
      </c>
      <c r="H91" s="13">
        <f t="shared" si="35"/>
        <v>0.3125</v>
      </c>
      <c r="I91" s="2">
        <f t="shared" si="38"/>
        <v>0.2104689435884628</v>
      </c>
      <c r="J91" s="2">
        <f t="shared" si="36"/>
        <v>-0.18884784474411886</v>
      </c>
      <c r="K91" s="2">
        <f t="shared" si="37"/>
        <v>9.4877610051344874E-3</v>
      </c>
      <c r="N91" s="2">
        <v>3</v>
      </c>
      <c r="O91" s="2">
        <v>0.3125</v>
      </c>
      <c r="P91" s="2">
        <v>9.4877610051344874E-3</v>
      </c>
    </row>
    <row r="92" spans="5:16" x14ac:dyDescent="0.3">
      <c r="E92" s="2">
        <v>4</v>
      </c>
      <c r="F92" s="2">
        <f>H91</f>
        <v>0.3125</v>
      </c>
      <c r="G92" s="2">
        <f>G91</f>
        <v>0.375</v>
      </c>
      <c r="H92" s="13">
        <f t="shared" ref="H92:H94" si="39">(F92+G92)/2</f>
        <v>0.34375</v>
      </c>
      <c r="I92" s="2">
        <f t="shared" ref="I92:I94" si="40">F92^3 - F92^2*EXP(-0.5*F92) - 3*F92 + 1</f>
        <v>9.4877610051344874E-3</v>
      </c>
      <c r="J92" s="2">
        <f t="shared" ref="J92:J94" si="41">G92^3 - G92^2*EXP(-0.5*G92) - 3*G92 + 1</f>
        <v>-0.18884784474411886</v>
      </c>
      <c r="K92" s="2">
        <f t="shared" ref="K92:K94" si="42">H92^3 - H92^2*EXP(-0.5*H92) - 3*H92 + 1</f>
        <v>-9.0135220394872428E-2</v>
      </c>
      <c r="N92" s="2">
        <v>4</v>
      </c>
      <c r="O92" s="2">
        <v>0.34375</v>
      </c>
      <c r="P92" s="2">
        <v>-9.0135220394872428E-2</v>
      </c>
    </row>
    <row r="93" spans="5:16" x14ac:dyDescent="0.3">
      <c r="E93" s="2">
        <v>5</v>
      </c>
      <c r="F93" s="2">
        <f t="shared" ref="F93:F94" si="43">F92</f>
        <v>0.3125</v>
      </c>
      <c r="G93" s="2">
        <f t="shared" ref="G93:G95" si="44">H92</f>
        <v>0.34375</v>
      </c>
      <c r="H93" s="13">
        <f t="shared" si="39"/>
        <v>0.328125</v>
      </c>
      <c r="I93" s="2">
        <f t="shared" si="40"/>
        <v>9.4877610051344874E-3</v>
      </c>
      <c r="J93" s="2">
        <f t="shared" si="41"/>
        <v>-9.0135220394872428E-2</v>
      </c>
      <c r="K93" s="2">
        <f t="shared" si="42"/>
        <v>-4.0422049298882712E-2</v>
      </c>
      <c r="N93" s="2">
        <v>5</v>
      </c>
      <c r="O93" s="2">
        <v>0.328125</v>
      </c>
      <c r="P93" s="2">
        <v>-4.0422049298882712E-2</v>
      </c>
    </row>
    <row r="94" spans="5:16" x14ac:dyDescent="0.3">
      <c r="E94" s="2">
        <v>6</v>
      </c>
      <c r="F94" s="2">
        <f t="shared" si="43"/>
        <v>0.3125</v>
      </c>
      <c r="G94" s="2">
        <f t="shared" si="44"/>
        <v>0.328125</v>
      </c>
      <c r="H94" s="13">
        <f t="shared" si="39"/>
        <v>0.3203125</v>
      </c>
      <c r="I94" s="2">
        <f t="shared" si="40"/>
        <v>9.4877610051344874E-3</v>
      </c>
      <c r="J94" s="2">
        <f t="shared" si="41"/>
        <v>-4.0422049298882712E-2</v>
      </c>
      <c r="K94" s="2">
        <f t="shared" si="42"/>
        <v>-1.5489782308668598E-2</v>
      </c>
      <c r="N94" s="2">
        <v>6</v>
      </c>
      <c r="O94" s="2">
        <v>0.3203125</v>
      </c>
      <c r="P94" s="2">
        <v>-1.5489782308668598E-2</v>
      </c>
    </row>
    <row r="95" spans="5:16" x14ac:dyDescent="0.3">
      <c r="E95" s="2">
        <v>7</v>
      </c>
      <c r="F95" s="2">
        <f t="shared" ref="F95" si="45">F94</f>
        <v>0.3125</v>
      </c>
      <c r="G95" s="2">
        <f t="shared" si="44"/>
        <v>0.3203125</v>
      </c>
      <c r="H95" s="9">
        <f t="shared" ref="H95" si="46">(F95+G95)/2</f>
        <v>0.31640625</v>
      </c>
      <c r="I95" s="2">
        <f t="shared" ref="I95" si="47">F95^3 - F95^2*EXP(-0.5*F95) - 3*F95 + 1</f>
        <v>9.4877610051344874E-3</v>
      </c>
      <c r="J95" s="2">
        <f t="shared" ref="J95" si="48">G95^3 - G95^2*EXP(-0.5*G95) - 3*G95 + 1</f>
        <v>-1.5489782308668598E-2</v>
      </c>
      <c r="K95" s="2">
        <f t="shared" ref="K95" si="49">H95^3 - H95^2*EXP(-0.5*H95) - 3*H95 + 1</f>
        <v>-3.006427010124435E-3</v>
      </c>
      <c r="N95" s="2">
        <v>7</v>
      </c>
      <c r="O95" s="2">
        <v>0.31640625</v>
      </c>
      <c r="P95" s="2">
        <v>-3.006427010124435E-3</v>
      </c>
    </row>
    <row r="96" spans="5:16" x14ac:dyDescent="0.3">
      <c r="H96" s="4" t="s">
        <v>11</v>
      </c>
    </row>
    <row r="98" spans="1:19" x14ac:dyDescent="0.3">
      <c r="E98" s="1" t="s">
        <v>3</v>
      </c>
      <c r="F98" s="1" t="s">
        <v>4</v>
      </c>
      <c r="G98" s="1" t="s">
        <v>5</v>
      </c>
      <c r="H98" s="1" t="s">
        <v>6</v>
      </c>
      <c r="I98" s="1" t="s">
        <v>7</v>
      </c>
      <c r="J98" s="1" t="s">
        <v>8</v>
      </c>
      <c r="K98" s="1" t="s">
        <v>9</v>
      </c>
      <c r="L98" s="1" t="s">
        <v>10</v>
      </c>
      <c r="N98" s="1" t="s">
        <v>3</v>
      </c>
      <c r="O98" t="s">
        <v>6</v>
      </c>
      <c r="P98" t="s">
        <v>9</v>
      </c>
    </row>
    <row r="99" spans="1:19" x14ac:dyDescent="0.3">
      <c r="E99" s="2">
        <v>0</v>
      </c>
      <c r="F99" s="2">
        <v>1</v>
      </c>
      <c r="G99" s="2">
        <v>2</v>
      </c>
      <c r="H99" s="2">
        <f t="shared" ref="H99:H108" si="50">(F99+G99)/2</f>
        <v>1.5</v>
      </c>
      <c r="I99" s="2">
        <f>F99^3 - F99^2*EXP(-0.5*F99) - 3*F99 + 1</f>
        <v>-1.6065306597126332</v>
      </c>
      <c r="J99" s="2">
        <f t="shared" ref="J99:J108" si="51">G99^3 - G99^2*EXP(-0.5*G99) - 3*G99 + 1</f>
        <v>1.5284822353142307</v>
      </c>
      <c r="K99" s="2">
        <f t="shared" ref="K99:K108" si="52">H99^3 - H99^2*EXP(-0.5*H99) - 3*H99 + 1</f>
        <v>-1.1878247436672833</v>
      </c>
      <c r="L99" s="5">
        <v>5.0000000000000001E-3</v>
      </c>
      <c r="N99" s="2">
        <v>0</v>
      </c>
      <c r="O99">
        <v>1.5</v>
      </c>
      <c r="P99">
        <v>-1.1878247436672833</v>
      </c>
    </row>
    <row r="100" spans="1:19" x14ac:dyDescent="0.3">
      <c r="E100" s="2">
        <v>1</v>
      </c>
      <c r="F100" s="2">
        <f>H99</f>
        <v>1.5</v>
      </c>
      <c r="G100" s="2">
        <f>G99</f>
        <v>2</v>
      </c>
      <c r="H100" s="2">
        <f t="shared" si="50"/>
        <v>1.75</v>
      </c>
      <c r="I100" s="2">
        <f t="shared" ref="I100:I108" si="53">F100^3 - F100^2*EXP(-0.5*F100) - 3*F100 + 1</f>
        <v>-1.1878247436672833</v>
      </c>
      <c r="J100" s="2">
        <f t="shared" si="51"/>
        <v>1.5284822353142307</v>
      </c>
      <c r="K100" s="2">
        <f t="shared" si="52"/>
        <v>-0.16726493526543162</v>
      </c>
      <c r="N100" s="2">
        <v>1</v>
      </c>
      <c r="O100">
        <v>1.75</v>
      </c>
      <c r="P100">
        <v>-0.16726493526543162</v>
      </c>
    </row>
    <row r="101" spans="1:19" x14ac:dyDescent="0.3">
      <c r="E101" s="2">
        <v>2</v>
      </c>
      <c r="F101" s="2">
        <f>H100</f>
        <v>1.75</v>
      </c>
      <c r="G101" s="2">
        <f>G100</f>
        <v>2</v>
      </c>
      <c r="H101" s="2">
        <f t="shared" si="50"/>
        <v>1.875</v>
      </c>
      <c r="I101" s="2">
        <f t="shared" si="53"/>
        <v>-0.16726493526543162</v>
      </c>
      <c r="J101" s="2">
        <f t="shared" si="51"/>
        <v>1.5284822353142307</v>
      </c>
      <c r="K101" s="2">
        <f t="shared" si="52"/>
        <v>0.59005834371437871</v>
      </c>
      <c r="N101" s="2">
        <v>2</v>
      </c>
      <c r="O101">
        <v>1.875</v>
      </c>
      <c r="P101">
        <v>0.59005834371437871</v>
      </c>
    </row>
    <row r="102" spans="1:19" x14ac:dyDescent="0.3">
      <c r="E102" s="2">
        <v>3</v>
      </c>
      <c r="F102" s="2">
        <f>F101</f>
        <v>1.75</v>
      </c>
      <c r="G102" s="2">
        <f>H101</f>
        <v>1.875</v>
      </c>
      <c r="H102" s="2">
        <f t="shared" si="50"/>
        <v>1.8125</v>
      </c>
      <c r="I102" s="2">
        <f t="shared" si="53"/>
        <v>-0.16726493526543162</v>
      </c>
      <c r="J102" s="2">
        <f t="shared" si="51"/>
        <v>0.59005834371437871</v>
      </c>
      <c r="K102" s="2">
        <f t="shared" si="52"/>
        <v>0.18952259218409928</v>
      </c>
      <c r="N102" s="2">
        <v>3</v>
      </c>
      <c r="O102">
        <v>1.8125</v>
      </c>
      <c r="P102">
        <v>0.18952259218409928</v>
      </c>
    </row>
    <row r="103" spans="1:19" x14ac:dyDescent="0.3">
      <c r="E103" s="2">
        <v>4</v>
      </c>
      <c r="F103" s="2">
        <f>F102</f>
        <v>1.75</v>
      </c>
      <c r="G103" s="2">
        <f>H102</f>
        <v>1.8125</v>
      </c>
      <c r="H103" s="2">
        <f t="shared" si="50"/>
        <v>1.78125</v>
      </c>
      <c r="I103" s="2">
        <f t="shared" si="53"/>
        <v>-0.16726493526543162</v>
      </c>
      <c r="J103" s="2">
        <f t="shared" si="51"/>
        <v>0.18952259218409928</v>
      </c>
      <c r="K103" s="2">
        <f t="shared" si="52"/>
        <v>5.7561880955994127E-3</v>
      </c>
      <c r="N103" s="2">
        <v>4</v>
      </c>
      <c r="O103">
        <v>1.78125</v>
      </c>
      <c r="P103">
        <v>5.7561880955994127E-3</v>
      </c>
    </row>
    <row r="104" spans="1:19" x14ac:dyDescent="0.3">
      <c r="E104" s="2">
        <v>5</v>
      </c>
      <c r="F104" s="2">
        <f>F103</f>
        <v>1.75</v>
      </c>
      <c r="G104" s="2">
        <f>H103</f>
        <v>1.78125</v>
      </c>
      <c r="H104" s="2">
        <f t="shared" si="50"/>
        <v>1.765625</v>
      </c>
      <c r="I104" s="2">
        <f t="shared" si="53"/>
        <v>-0.16726493526543162</v>
      </c>
      <c r="J104" s="2">
        <f t="shared" si="51"/>
        <v>5.7561880955994127E-3</v>
      </c>
      <c r="K104" s="2">
        <f t="shared" si="52"/>
        <v>-8.2085517878812908E-2</v>
      </c>
      <c r="N104" s="2">
        <v>5</v>
      </c>
      <c r="O104">
        <v>1.765625</v>
      </c>
      <c r="P104">
        <v>-8.2085517878812908E-2</v>
      </c>
    </row>
    <row r="105" spans="1:19" x14ac:dyDescent="0.3">
      <c r="E105" s="2">
        <v>6</v>
      </c>
      <c r="F105" s="2">
        <f>H104</f>
        <v>1.765625</v>
      </c>
      <c r="G105" s="2">
        <f>G104</f>
        <v>1.78125</v>
      </c>
      <c r="H105" s="2">
        <f t="shared" si="50"/>
        <v>1.7734375</v>
      </c>
      <c r="I105" s="2">
        <f t="shared" si="53"/>
        <v>-8.2085517878812908E-2</v>
      </c>
      <c r="J105" s="2">
        <f t="shared" si="51"/>
        <v>5.7561880955994127E-3</v>
      </c>
      <c r="K105" s="2">
        <f t="shared" si="52"/>
        <v>-3.8498954300466792E-2</v>
      </c>
      <c r="N105" s="2">
        <v>6</v>
      </c>
      <c r="O105">
        <v>1.7734375</v>
      </c>
      <c r="P105">
        <v>-3.8498954300466792E-2</v>
      </c>
    </row>
    <row r="106" spans="1:19" x14ac:dyDescent="0.3">
      <c r="E106" s="2">
        <v>7</v>
      </c>
      <c r="F106" s="2">
        <f>H105</f>
        <v>1.7734375</v>
      </c>
      <c r="G106" s="2">
        <f>G105</f>
        <v>1.78125</v>
      </c>
      <c r="H106" s="2">
        <f t="shared" si="50"/>
        <v>1.77734375</v>
      </c>
      <c r="I106" s="2">
        <f t="shared" si="53"/>
        <v>-3.8498954300466792E-2</v>
      </c>
      <c r="J106" s="2">
        <f t="shared" si="51"/>
        <v>5.7561880955994127E-3</v>
      </c>
      <c r="K106" s="2">
        <f t="shared" si="52"/>
        <v>-1.6455143251628002E-2</v>
      </c>
      <c r="N106" s="2">
        <v>7</v>
      </c>
      <c r="O106">
        <v>1.77734375</v>
      </c>
      <c r="P106">
        <v>-1.6455143251628002E-2</v>
      </c>
    </row>
    <row r="107" spans="1:19" x14ac:dyDescent="0.3">
      <c r="E107" s="2">
        <v>8</v>
      </c>
      <c r="F107" s="2">
        <f>H106</f>
        <v>1.77734375</v>
      </c>
      <c r="G107" s="2">
        <f>G106</f>
        <v>1.78125</v>
      </c>
      <c r="H107" s="2">
        <f t="shared" si="50"/>
        <v>1.779296875</v>
      </c>
      <c r="I107" s="2">
        <f t="shared" si="53"/>
        <v>-1.6455143251628002E-2</v>
      </c>
      <c r="J107" s="2">
        <f t="shared" si="51"/>
        <v>5.7561880955994127E-3</v>
      </c>
      <c r="K107" s="2">
        <f t="shared" si="52"/>
        <v>-5.3704410824852999E-3</v>
      </c>
      <c r="N107" s="2">
        <v>8</v>
      </c>
      <c r="O107">
        <v>1.779296875</v>
      </c>
      <c r="P107">
        <v>-5.3704410824852999E-3</v>
      </c>
    </row>
    <row r="108" spans="1:19" x14ac:dyDescent="0.3">
      <c r="E108" s="2">
        <v>9</v>
      </c>
      <c r="F108" s="2">
        <f>H107</f>
        <v>1.779296875</v>
      </c>
      <c r="G108" s="2">
        <f>G107</f>
        <v>1.78125</v>
      </c>
      <c r="H108" s="9">
        <f t="shared" si="50"/>
        <v>1.7802734375</v>
      </c>
      <c r="I108" s="2">
        <f t="shared" si="53"/>
        <v>-5.3704410824852999E-3</v>
      </c>
      <c r="J108" s="2">
        <f t="shared" si="51"/>
        <v>5.7561880955994127E-3</v>
      </c>
      <c r="K108" s="2">
        <f t="shared" si="52"/>
        <v>1.8762969750696357E-4</v>
      </c>
      <c r="N108" s="2">
        <v>9</v>
      </c>
      <c r="O108">
        <v>1.7802734375</v>
      </c>
      <c r="P108">
        <v>1.8762969750696357E-4</v>
      </c>
    </row>
    <row r="109" spans="1:19" x14ac:dyDescent="0.3">
      <c r="H109" s="4" t="s">
        <v>11</v>
      </c>
    </row>
    <row r="111" spans="1:19" ht="6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7" spans="2:16" x14ac:dyDescent="0.3">
      <c r="B117" t="s">
        <v>14</v>
      </c>
    </row>
    <row r="120" spans="2:16" x14ac:dyDescent="0.3">
      <c r="B120" s="10" t="s">
        <v>1</v>
      </c>
      <c r="C120" s="10" t="s">
        <v>2</v>
      </c>
      <c r="E120" s="1" t="s">
        <v>3</v>
      </c>
      <c r="F120" s="1" t="s">
        <v>4</v>
      </c>
      <c r="G120" s="1" t="s">
        <v>5</v>
      </c>
      <c r="H120" s="1" t="s">
        <v>6</v>
      </c>
      <c r="I120" s="1" t="s">
        <v>7</v>
      </c>
      <c r="J120" s="1" t="s">
        <v>8</v>
      </c>
      <c r="K120" s="1" t="s">
        <v>9</v>
      </c>
      <c r="L120" s="1" t="s">
        <v>10</v>
      </c>
      <c r="N120" t="s">
        <v>3</v>
      </c>
      <c r="O120" t="s">
        <v>6</v>
      </c>
      <c r="P120" t="s">
        <v>9</v>
      </c>
    </row>
    <row r="121" spans="2:16" x14ac:dyDescent="0.3">
      <c r="B121" s="2">
        <v>0</v>
      </c>
      <c r="C121" s="2">
        <f>COS(B121)^2 - 0.5*B121*EXP(0.3*B121) + 5</f>
        <v>6</v>
      </c>
      <c r="E121" s="2">
        <v>0</v>
      </c>
      <c r="F121" s="2">
        <v>3</v>
      </c>
      <c r="G121" s="2">
        <v>4</v>
      </c>
      <c r="H121" s="2">
        <f t="shared" ref="H121" si="54">(F121+G121)/2</f>
        <v>3.5</v>
      </c>
      <c r="I121" s="2">
        <f>COS(F121)^2 - 0.5*F121*EXP(0.3*F121) + 5</f>
        <v>2.2906804765897588</v>
      </c>
      <c r="J121" s="2">
        <f t="shared" ref="J121:K121" si="55">COS(G121)^2 - 0.5*G121*EXP(0.3*G121) + 5</f>
        <v>-1.212983862377401</v>
      </c>
      <c r="K121" s="2">
        <f t="shared" si="55"/>
        <v>0.87606167056111595</v>
      </c>
      <c r="L121" s="5">
        <v>5.0000000000000001E-3</v>
      </c>
      <c r="N121">
        <v>0</v>
      </c>
      <c r="O121">
        <v>3.5</v>
      </c>
      <c r="P121">
        <v>0.87606167056111595</v>
      </c>
    </row>
    <row r="122" spans="2:16" x14ac:dyDescent="0.3">
      <c r="B122" s="2">
        <v>1</v>
      </c>
      <c r="C122" s="2">
        <f t="shared" ref="C122:C129" si="56">COS(B122)^2 - 0.5*B122*EXP(0.3*B122) + 5</f>
        <v>4.6169971779384271</v>
      </c>
      <c r="E122" s="2">
        <v>1</v>
      </c>
      <c r="F122" s="2">
        <f>H121</f>
        <v>3.5</v>
      </c>
      <c r="G122" s="2">
        <f>G121</f>
        <v>4</v>
      </c>
      <c r="H122" s="2">
        <f t="shared" ref="H122:H127" si="57">(F122+G122)/2</f>
        <v>3.75</v>
      </c>
      <c r="I122" s="2">
        <f t="shared" ref="I122:I127" si="58">COS(F122)^2 - 0.5*F122*EXP(0.3*F122) + 5</f>
        <v>0.87606167056111595</v>
      </c>
      <c r="J122" s="2">
        <f t="shared" ref="J122:J127" si="59">COS(G122)^2 - 0.5*G122*EXP(0.3*G122) + 5</f>
        <v>-1.212983862377401</v>
      </c>
      <c r="K122" s="2">
        <f t="shared" ref="K122:K127" si="60">COS(H122)^2 - 0.5*H122*EXP(0.3*H122) + 5</f>
        <v>-0.10208893280379527</v>
      </c>
      <c r="N122">
        <v>1</v>
      </c>
      <c r="O122">
        <v>3.75</v>
      </c>
      <c r="P122">
        <v>-0.10208893280379527</v>
      </c>
    </row>
    <row r="123" spans="2:16" x14ac:dyDescent="0.3">
      <c r="B123" s="2">
        <v>2</v>
      </c>
      <c r="C123" s="2">
        <f t="shared" si="56"/>
        <v>3.351059389177685</v>
      </c>
      <c r="E123" s="2">
        <v>2</v>
      </c>
      <c r="F123" s="2">
        <f>F122</f>
        <v>3.5</v>
      </c>
      <c r="G123" s="2">
        <f>H122</f>
        <v>3.75</v>
      </c>
      <c r="H123" s="2">
        <f t="shared" si="57"/>
        <v>3.625</v>
      </c>
      <c r="I123" s="2">
        <f t="shared" si="58"/>
        <v>0.87606167056111595</v>
      </c>
      <c r="J123" s="2">
        <f t="shared" si="59"/>
        <v>-0.10208893280379527</v>
      </c>
      <c r="K123" s="2">
        <f t="shared" si="60"/>
        <v>0.40655067707081294</v>
      </c>
      <c r="N123">
        <v>2</v>
      </c>
      <c r="O123">
        <v>3.625</v>
      </c>
      <c r="P123">
        <v>0.40655067707081294</v>
      </c>
    </row>
    <row r="124" spans="2:16" x14ac:dyDescent="0.3">
      <c r="B124" s="2">
        <v>3</v>
      </c>
      <c r="C124" s="11">
        <f t="shared" si="56"/>
        <v>2.2906804765897588</v>
      </c>
      <c r="E124" s="2">
        <v>3</v>
      </c>
      <c r="F124" s="2">
        <f>H123</f>
        <v>3.625</v>
      </c>
      <c r="G124" s="2">
        <f>G123</f>
        <v>3.75</v>
      </c>
      <c r="H124" s="2">
        <f t="shared" si="57"/>
        <v>3.6875</v>
      </c>
      <c r="I124" s="2">
        <f t="shared" si="58"/>
        <v>0.40655067707081294</v>
      </c>
      <c r="J124" s="2">
        <f t="shared" si="59"/>
        <v>-0.10208893280379527</v>
      </c>
      <c r="K124" s="2">
        <f t="shared" si="60"/>
        <v>0.15677999132921183</v>
      </c>
      <c r="N124">
        <v>3</v>
      </c>
      <c r="O124">
        <v>3.6875</v>
      </c>
      <c r="P124">
        <v>0.15677999132921183</v>
      </c>
    </row>
    <row r="125" spans="2:16" x14ac:dyDescent="0.3">
      <c r="B125" s="2">
        <v>4</v>
      </c>
      <c r="C125" s="11">
        <f t="shared" si="56"/>
        <v>-1.212983862377401</v>
      </c>
      <c r="E125" s="2">
        <v>4</v>
      </c>
      <c r="F125" s="2">
        <f>H124</f>
        <v>3.6875</v>
      </c>
      <c r="G125" s="2">
        <f>G124</f>
        <v>3.75</v>
      </c>
      <c r="H125" s="2">
        <f t="shared" si="57"/>
        <v>3.71875</v>
      </c>
      <c r="I125" s="2">
        <f t="shared" si="58"/>
        <v>0.15677999132921183</v>
      </c>
      <c r="J125" s="2">
        <f t="shared" si="59"/>
        <v>-0.10208893280379527</v>
      </c>
      <c r="K125" s="2">
        <f t="shared" si="60"/>
        <v>2.8436804737782317E-2</v>
      </c>
      <c r="N125">
        <v>4</v>
      </c>
      <c r="O125">
        <v>3.71875</v>
      </c>
      <c r="P125">
        <v>2.8436804737782317E-2</v>
      </c>
    </row>
    <row r="126" spans="2:16" x14ac:dyDescent="0.3">
      <c r="B126" s="2">
        <v>5</v>
      </c>
      <c r="C126" s="2">
        <f t="shared" si="56"/>
        <v>-6.1237584403833871</v>
      </c>
      <c r="E126" s="2">
        <v>5</v>
      </c>
      <c r="F126" s="2">
        <f>H125</f>
        <v>3.71875</v>
      </c>
      <c r="G126" s="2">
        <f>G125</f>
        <v>3.75</v>
      </c>
      <c r="H126" s="2">
        <f t="shared" si="57"/>
        <v>3.734375</v>
      </c>
      <c r="I126" s="2">
        <f t="shared" si="58"/>
        <v>2.8436804737782317E-2</v>
      </c>
      <c r="J126" s="2">
        <f t="shared" si="59"/>
        <v>-0.10208893280379527</v>
      </c>
      <c r="K126" s="2">
        <f t="shared" si="60"/>
        <v>-3.6559165284978157E-2</v>
      </c>
      <c r="N126">
        <v>5</v>
      </c>
      <c r="O126">
        <v>3.734375</v>
      </c>
      <c r="P126">
        <v>-3.6559165284978157E-2</v>
      </c>
    </row>
    <row r="127" spans="2:16" x14ac:dyDescent="0.3">
      <c r="B127" s="2">
        <v>6</v>
      </c>
      <c r="C127" s="2">
        <f t="shared" si="56"/>
        <v>-12.227015413872586</v>
      </c>
      <c r="E127" s="2">
        <v>6</v>
      </c>
      <c r="F127" s="2">
        <f>F126</f>
        <v>3.71875</v>
      </c>
      <c r="G127" s="2">
        <f>H126</f>
        <v>3.734375</v>
      </c>
      <c r="H127" s="14">
        <f t="shared" si="57"/>
        <v>3.7265625</v>
      </c>
      <c r="I127" s="2">
        <f t="shared" si="58"/>
        <v>2.8436804737782317E-2</v>
      </c>
      <c r="J127" s="2">
        <f t="shared" si="59"/>
        <v>-3.6559165284978157E-2</v>
      </c>
      <c r="K127" s="2">
        <f t="shared" si="60"/>
        <v>-3.9937086888297557E-3</v>
      </c>
      <c r="N127">
        <v>6</v>
      </c>
      <c r="O127">
        <v>3.7265625</v>
      </c>
      <c r="P127">
        <v>-3.9937086888297557E-3</v>
      </c>
    </row>
    <row r="128" spans="2:16" x14ac:dyDescent="0.3">
      <c r="B128" s="2">
        <v>7</v>
      </c>
      <c r="C128" s="2">
        <f t="shared" si="56"/>
        <v>-23.013226084882863</v>
      </c>
      <c r="H128" s="4" t="s">
        <v>11</v>
      </c>
    </row>
    <row r="129" spans="2:3" x14ac:dyDescent="0.3">
      <c r="B129" s="2">
        <v>8</v>
      </c>
      <c r="C129" s="2">
        <f t="shared" si="56"/>
        <v>-39.071535262728098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D841-8D20-4634-BF4E-F060035B90D3}">
  <dimension ref="A2:S106"/>
  <sheetViews>
    <sheetView topLeftCell="A101" zoomScale="85" zoomScaleNormal="85" workbookViewId="0">
      <selection activeCell="E131" sqref="E131"/>
    </sheetView>
  </sheetViews>
  <sheetFormatPr baseColWidth="10" defaultRowHeight="14.4" x14ac:dyDescent="0.3"/>
  <sheetData>
    <row r="2" spans="2:14" x14ac:dyDescent="0.3">
      <c r="K2" s="10" t="s">
        <v>1</v>
      </c>
      <c r="L2" s="10" t="s">
        <v>2</v>
      </c>
    </row>
    <row r="3" spans="2:14" x14ac:dyDescent="0.3">
      <c r="K3" s="2">
        <v>0</v>
      </c>
      <c r="L3" s="2">
        <f>K3^3-EXP(0.8*K3)-20</f>
        <v>-21</v>
      </c>
    </row>
    <row r="4" spans="2:14" x14ac:dyDescent="0.3">
      <c r="K4" s="2">
        <v>1</v>
      </c>
      <c r="L4" s="2">
        <f t="shared" ref="L4:L11" si="0">K4^3-EXP(0.8*K4)-20</f>
        <v>-21.225540928492467</v>
      </c>
    </row>
    <row r="5" spans="2:14" x14ac:dyDescent="0.3">
      <c r="K5" s="2">
        <v>2</v>
      </c>
      <c r="L5" s="2">
        <f t="shared" si="0"/>
        <v>-16.953032424395115</v>
      </c>
    </row>
    <row r="6" spans="2:14" x14ac:dyDescent="0.3">
      <c r="K6" s="2">
        <v>3</v>
      </c>
      <c r="L6" s="11">
        <f t="shared" si="0"/>
        <v>-4.0231763806416048</v>
      </c>
    </row>
    <row r="7" spans="2:14" x14ac:dyDescent="0.3">
      <c r="B7" t="s">
        <v>0</v>
      </c>
      <c r="F7" t="s">
        <v>19</v>
      </c>
      <c r="K7" s="2">
        <v>4</v>
      </c>
      <c r="L7" s="11">
        <f t="shared" si="0"/>
        <v>19.467469802890648</v>
      </c>
    </row>
    <row r="8" spans="2:14" x14ac:dyDescent="0.3">
      <c r="K8" s="2">
        <v>5</v>
      </c>
      <c r="L8" s="2">
        <f t="shared" si="0"/>
        <v>50.401849966855764</v>
      </c>
    </row>
    <row r="9" spans="2:14" x14ac:dyDescent="0.3">
      <c r="I9" t="s">
        <v>18</v>
      </c>
      <c r="K9" s="2">
        <v>6</v>
      </c>
      <c r="L9" s="2">
        <f t="shared" si="0"/>
        <v>74.489582481265032</v>
      </c>
    </row>
    <row r="10" spans="2:14" x14ac:dyDescent="0.3">
      <c r="K10" s="2">
        <v>7</v>
      </c>
      <c r="L10" s="11">
        <f t="shared" si="0"/>
        <v>52.573592573847236</v>
      </c>
    </row>
    <row r="11" spans="2:14" ht="15.6" customHeight="1" x14ac:dyDescent="0.3">
      <c r="K11" s="2">
        <v>8</v>
      </c>
      <c r="L11" s="11">
        <f t="shared" si="0"/>
        <v>-109.84503787208223</v>
      </c>
    </row>
    <row r="14" spans="2:14" x14ac:dyDescent="0.3">
      <c r="G14" s="15" t="s">
        <v>15</v>
      </c>
      <c r="H14" s="15"/>
      <c r="N14" s="12"/>
    </row>
    <row r="15" spans="2:14" x14ac:dyDescent="0.3">
      <c r="C15" s="16" t="s">
        <v>3</v>
      </c>
      <c r="D15" s="16" t="s">
        <v>1</v>
      </c>
      <c r="E15" s="16" t="s">
        <v>16</v>
      </c>
      <c r="F15" s="16" t="s">
        <v>17</v>
      </c>
      <c r="G15" s="16" t="s">
        <v>10</v>
      </c>
      <c r="J15" s="16" t="s">
        <v>3</v>
      </c>
      <c r="K15" s="16" t="s">
        <v>1</v>
      </c>
      <c r="L15" s="16" t="s">
        <v>16</v>
      </c>
      <c r="M15" s="16" t="s">
        <v>17</v>
      </c>
      <c r="N15" s="16" t="s">
        <v>10</v>
      </c>
    </row>
    <row r="16" spans="2:14" x14ac:dyDescent="0.3">
      <c r="C16" s="2">
        <v>0</v>
      </c>
      <c r="D16" s="2">
        <v>0</v>
      </c>
      <c r="E16" s="2">
        <f>D16^3 - EXP(0.8*D16) - 20</f>
        <v>-21</v>
      </c>
      <c r="F16" s="2">
        <f>3*D16^2 - 0.8*EXP(0.8*D16)</f>
        <v>-0.8</v>
      </c>
      <c r="G16" s="2">
        <v>4.9999999999999998E-7</v>
      </c>
      <c r="J16" s="2">
        <v>7</v>
      </c>
      <c r="K16" s="2">
        <v>7</v>
      </c>
      <c r="L16" s="2">
        <f>K16^3 - EXP(0.8*K16) - 20</f>
        <v>52.573592573847236</v>
      </c>
      <c r="M16" s="2">
        <f>3*K16^2 - 0.8*EXP(0.8*K16)</f>
        <v>-69.341125940922211</v>
      </c>
      <c r="N16" s="2">
        <v>4.9999999999999998E-7</v>
      </c>
    </row>
    <row r="17" spans="1:19" x14ac:dyDescent="0.3">
      <c r="C17" s="2">
        <v>1</v>
      </c>
      <c r="D17" s="2">
        <f>D16-(E16/F16)</f>
        <v>-26.25</v>
      </c>
      <c r="E17" s="2">
        <f>D17^3 - EXP(0.8*D17) - 20</f>
        <v>-18107.890625000757</v>
      </c>
      <c r="F17" s="2">
        <f>3*D17^2 - 0.8*EXP(0.8*D17)</f>
        <v>2067.1874999993934</v>
      </c>
      <c r="J17" s="2">
        <v>8</v>
      </c>
      <c r="K17" s="2">
        <f>K16-(L16/M16)</f>
        <v>7.7581877545316944</v>
      </c>
      <c r="L17" s="2">
        <f t="shared" ref="L17:L21" si="1">K17^3 - EXP(0.8*K17) - 20</f>
        <v>-49.025976273836591</v>
      </c>
      <c r="M17" s="2">
        <f t="shared" ref="M17:M21" si="2">3*K17^2 - 0.8*EXP(0.8*K17)</f>
        <v>-216.22136150166909</v>
      </c>
    </row>
    <row r="18" spans="1:19" x14ac:dyDescent="0.3">
      <c r="C18" s="2">
        <v>2</v>
      </c>
      <c r="D18" s="2">
        <f t="shared" ref="D18:D24" si="3">D17-(E17/F17)</f>
        <v>-17.490325018893511</v>
      </c>
      <c r="E18" s="2">
        <f t="shared" ref="E18:E27" si="4">D18^3 - EXP(0.8*D18) - 20</f>
        <v>-5370.4910253168928</v>
      </c>
      <c r="F18" s="2">
        <f t="shared" ref="F18:F21" si="5">3*D18^2 - 0.8*EXP(0.8*D18)</f>
        <v>917.73440712920524</v>
      </c>
      <c r="J18" s="2">
        <v>9</v>
      </c>
      <c r="K18" s="2">
        <f t="shared" ref="K18:K21" si="6">K17-(L17/M17)</f>
        <v>7.5314480099784804</v>
      </c>
      <c r="L18" s="2">
        <f t="shared" si="1"/>
        <v>-6.5030365759858455</v>
      </c>
      <c r="M18" s="2">
        <f t="shared" si="2"/>
        <v>-160.79760969992125</v>
      </c>
    </row>
    <row r="19" spans="1:19" x14ac:dyDescent="0.3">
      <c r="C19" s="2">
        <v>3</v>
      </c>
      <c r="D19" s="2">
        <f t="shared" si="3"/>
        <v>-11.638423876692141</v>
      </c>
      <c r="E19" s="2">
        <f t="shared" si="4"/>
        <v>-1596.4584762411885</v>
      </c>
      <c r="F19" s="2">
        <f t="shared" si="5"/>
        <v>406.3586586425368</v>
      </c>
      <c r="J19" s="2">
        <v>10</v>
      </c>
      <c r="K19" s="2">
        <f t="shared" si="6"/>
        <v>7.4910056390494493</v>
      </c>
      <c r="L19" s="2">
        <f t="shared" si="1"/>
        <v>-0.17732383498918125</v>
      </c>
      <c r="M19" s="2">
        <f t="shared" si="2"/>
        <v>-152.08357947827099</v>
      </c>
    </row>
    <row r="20" spans="1:19" x14ac:dyDescent="0.3">
      <c r="C20" s="2">
        <v>4</v>
      </c>
      <c r="D20" s="17">
        <f t="shared" si="3"/>
        <v>-7.709730732625161</v>
      </c>
      <c r="E20" s="2">
        <f t="shared" si="4"/>
        <v>-478.2680894808388</v>
      </c>
      <c r="F20" s="2">
        <f t="shared" si="5"/>
        <v>178.31816720948305</v>
      </c>
      <c r="J20" s="2">
        <v>11</v>
      </c>
      <c r="K20" s="17">
        <f t="shared" si="6"/>
        <v>7.4898396759941512</v>
      </c>
      <c r="L20" s="2">
        <f t="shared" si="1"/>
        <v>-1.4364149870971232E-4</v>
      </c>
      <c r="M20" s="2">
        <f t="shared" si="2"/>
        <v>-151.83723339633323</v>
      </c>
      <c r="O20" s="12"/>
    </row>
    <row r="21" spans="1:19" x14ac:dyDescent="0.3">
      <c r="C21" s="2">
        <v>5</v>
      </c>
      <c r="D21" s="17">
        <f t="shared" si="3"/>
        <v>-5.0276254992364438</v>
      </c>
      <c r="E21" s="2">
        <f t="shared" si="4"/>
        <v>-147.1012963448735</v>
      </c>
      <c r="F21" s="2">
        <f t="shared" si="5"/>
        <v>75.816722244824263</v>
      </c>
      <c r="J21" s="2">
        <v>12</v>
      </c>
      <c r="K21" s="14">
        <f t="shared" si="6"/>
        <v>7.4898387299712592</v>
      </c>
      <c r="L21" s="2">
        <f t="shared" si="1"/>
        <v>-9.4530605565523729E-11</v>
      </c>
      <c r="M21" s="2">
        <f t="shared" si="2"/>
        <v>-151.83703362928554</v>
      </c>
    </row>
    <row r="22" spans="1:19" x14ac:dyDescent="0.3">
      <c r="C22" s="2">
        <v>6</v>
      </c>
      <c r="D22" s="17">
        <f t="shared" si="3"/>
        <v>-3.0874031842983225</v>
      </c>
      <c r="E22" s="2">
        <f t="shared" si="4"/>
        <v>-49.513898936852272</v>
      </c>
      <c r="F22" s="2">
        <f t="shared" ref="F22:F24" si="7">3*D22^2 - 0.8*EXP(0.8*D22)</f>
        <v>28.528502138790856</v>
      </c>
    </row>
    <row r="23" spans="1:19" x14ac:dyDescent="0.3">
      <c r="C23" s="2">
        <v>7</v>
      </c>
      <c r="D23" s="17">
        <f t="shared" si="3"/>
        <v>-1.3518091213514603</v>
      </c>
      <c r="E23" s="2">
        <f t="shared" si="4"/>
        <v>-22.809384017766931</v>
      </c>
      <c r="F23" s="2">
        <f t="shared" si="7"/>
        <v>5.2108801932826578</v>
      </c>
    </row>
    <row r="24" spans="1:19" x14ac:dyDescent="0.3">
      <c r="C24" s="2">
        <v>8</v>
      </c>
      <c r="D24" s="17">
        <f t="shared" si="3"/>
        <v>3.0254521419511371</v>
      </c>
      <c r="E24" s="2">
        <f t="shared" si="4"/>
        <v>-3.5568732058335684</v>
      </c>
      <c r="F24" s="2">
        <f t="shared" si="7"/>
        <v>18.460139725330656</v>
      </c>
    </row>
    <row r="25" spans="1:19" x14ac:dyDescent="0.3">
      <c r="C25" s="2">
        <v>9</v>
      </c>
      <c r="D25" s="17">
        <f t="shared" ref="D25:D27" si="8">D24-(E24/F24)</f>
        <v>3.2181307055349704</v>
      </c>
      <c r="E25" s="2">
        <f t="shared" si="4"/>
        <v>0.20332392166449154</v>
      </c>
      <c r="F25" s="2">
        <f t="shared" ref="F25:F27" si="9">3*D25^2 - 0.8*EXP(0.8*D25)</f>
        <v>20.569245275177799</v>
      </c>
    </row>
    <row r="26" spans="1:19" x14ac:dyDescent="0.3">
      <c r="C26" s="2">
        <v>10</v>
      </c>
      <c r="D26" s="17">
        <f t="shared" si="8"/>
        <v>3.2082458546838866</v>
      </c>
      <c r="E26" s="2">
        <f t="shared" si="4"/>
        <v>5.3306975808453672E-4</v>
      </c>
      <c r="F26" s="2">
        <f t="shared" si="9"/>
        <v>20.46137808001108</v>
      </c>
    </row>
    <row r="27" spans="1:19" x14ac:dyDescent="0.3">
      <c r="C27" s="2">
        <v>11</v>
      </c>
      <c r="D27" s="3">
        <f t="shared" si="8"/>
        <v>3.208219802198272</v>
      </c>
      <c r="E27" s="2">
        <f t="shared" si="4"/>
        <v>3.7044429745947127E-9</v>
      </c>
      <c r="F27" s="2">
        <f t="shared" si="9"/>
        <v>20.461093697154439</v>
      </c>
    </row>
    <row r="28" spans="1:19" ht="4.8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34" spans="2:11" x14ac:dyDescent="0.3">
      <c r="B34" s="8" t="s">
        <v>12</v>
      </c>
      <c r="E34" t="s">
        <v>20</v>
      </c>
      <c r="J34" s="10" t="s">
        <v>1</v>
      </c>
      <c r="K34" s="10" t="s">
        <v>2</v>
      </c>
    </row>
    <row r="35" spans="2:11" x14ac:dyDescent="0.3">
      <c r="J35" s="2">
        <v>0</v>
      </c>
      <c r="K35" s="2">
        <f>3*SIN(0.5*J35)-0.5*J35+2</f>
        <v>2</v>
      </c>
    </row>
    <row r="36" spans="2:11" x14ac:dyDescent="0.3">
      <c r="J36" s="2">
        <v>1</v>
      </c>
      <c r="K36" s="2">
        <f t="shared" ref="K36:K45" si="10">3*SIN(0.5*J36)-0.5*J36+2</f>
        <v>2.938276615812609</v>
      </c>
    </row>
    <row r="37" spans="2:11" x14ac:dyDescent="0.3">
      <c r="J37" s="2">
        <v>2</v>
      </c>
      <c r="K37" s="2">
        <f t="shared" si="10"/>
        <v>3.5244129544236893</v>
      </c>
    </row>
    <row r="38" spans="2:11" x14ac:dyDescent="0.3">
      <c r="J38" s="2">
        <v>3</v>
      </c>
      <c r="K38" s="2">
        <f t="shared" si="10"/>
        <v>3.4924849598121632</v>
      </c>
    </row>
    <row r="39" spans="2:11" x14ac:dyDescent="0.3">
      <c r="J39" s="2">
        <v>4</v>
      </c>
      <c r="K39" s="2">
        <f t="shared" si="10"/>
        <v>2.7278922804770449</v>
      </c>
    </row>
    <row r="40" spans="2:11" x14ac:dyDescent="0.3">
      <c r="J40" s="2">
        <v>5</v>
      </c>
      <c r="K40" s="11">
        <f t="shared" si="10"/>
        <v>1.2954164323118698</v>
      </c>
    </row>
    <row r="41" spans="2:11" x14ac:dyDescent="0.3">
      <c r="G41" s="15" t="s">
        <v>15</v>
      </c>
      <c r="J41" s="2">
        <v>6</v>
      </c>
      <c r="K41" s="11">
        <f t="shared" si="10"/>
        <v>-0.57663997582039839</v>
      </c>
    </row>
    <row r="42" spans="2:11" x14ac:dyDescent="0.3">
      <c r="C42" s="16" t="s">
        <v>3</v>
      </c>
      <c r="D42" s="16" t="s">
        <v>1</v>
      </c>
      <c r="E42" s="16" t="s">
        <v>16</v>
      </c>
      <c r="F42" s="16" t="s">
        <v>17</v>
      </c>
      <c r="G42" s="16" t="s">
        <v>10</v>
      </c>
      <c r="J42" s="2">
        <v>7</v>
      </c>
      <c r="K42" s="2">
        <f t="shared" si="10"/>
        <v>-2.5523496830688597</v>
      </c>
    </row>
    <row r="43" spans="2:11" x14ac:dyDescent="0.3">
      <c r="C43" s="2">
        <v>0</v>
      </c>
      <c r="D43" s="2">
        <v>4</v>
      </c>
      <c r="E43" s="2">
        <f>3*SIN(0.5*D43) - 0.5*D43 + 2</f>
        <v>2.7278922804770449</v>
      </c>
      <c r="F43" s="2">
        <f>1.5*COS(0.5*D43) - 0.5</f>
        <v>-1.1242202548207136</v>
      </c>
      <c r="G43">
        <v>4.9999999999999998E-7</v>
      </c>
      <c r="J43" s="2">
        <v>8</v>
      </c>
      <c r="K43" s="2">
        <f t="shared" si="10"/>
        <v>-4.2704074859237844</v>
      </c>
    </row>
    <row r="44" spans="2:11" x14ac:dyDescent="0.3">
      <c r="C44" s="2">
        <v>1</v>
      </c>
      <c r="D44" s="2">
        <f>D43-(E43/F43)</f>
        <v>6.4264749445490814</v>
      </c>
      <c r="E44" s="2">
        <f t="shared" ref="E44:E47" si="11">3*SIN(0.5*D44) - 0.5*D44 + 2</f>
        <v>-1.4279880998022385</v>
      </c>
      <c r="F44" s="2">
        <f t="shared" ref="F44:F47" si="12">1.5*COS(0.5*D44) - 0.5</f>
        <v>-1.9961519114027544</v>
      </c>
      <c r="J44" s="2">
        <v>9</v>
      </c>
      <c r="K44" s="2">
        <f t="shared" si="10"/>
        <v>-5.432590352995291</v>
      </c>
    </row>
    <row r="45" spans="2:11" x14ac:dyDescent="0.3">
      <c r="C45" s="2">
        <v>2</v>
      </c>
      <c r="D45" s="2">
        <f t="shared" ref="D45:D47" si="13">D44-(E44/F44)</f>
        <v>5.7111044902038763</v>
      </c>
      <c r="E45" s="2">
        <f t="shared" si="11"/>
        <v>-9.085027877963725E-3</v>
      </c>
      <c r="F45" s="2">
        <f t="shared" si="12"/>
        <v>-1.9390529220780155</v>
      </c>
      <c r="J45" s="2">
        <v>10</v>
      </c>
      <c r="K45" s="2">
        <f t="shared" si="10"/>
        <v>-5.8767728239894153</v>
      </c>
    </row>
    <row r="46" spans="2:11" x14ac:dyDescent="0.3">
      <c r="C46" s="2">
        <v>3</v>
      </c>
      <c r="D46" s="2">
        <f t="shared" si="13"/>
        <v>5.7064191988564756</v>
      </c>
      <c r="E46" s="2">
        <f t="shared" si="11"/>
        <v>-2.3288672390542331E-6</v>
      </c>
      <c r="F46" s="2">
        <f t="shared" si="12"/>
        <v>-1.9380574878513941</v>
      </c>
    </row>
    <row r="47" spans="2:11" x14ac:dyDescent="0.3">
      <c r="C47" s="2">
        <v>4</v>
      </c>
      <c r="D47" s="3">
        <f t="shared" si="13"/>
        <v>5.7064179972062385</v>
      </c>
      <c r="E47" s="2">
        <f t="shared" si="11"/>
        <v>-1.532107773982716E-13</v>
      </c>
      <c r="F47" s="2">
        <f t="shared" si="12"/>
        <v>-1.9380572315369549</v>
      </c>
    </row>
    <row r="50" spans="1:19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7" spans="1:19" x14ac:dyDescent="0.3">
      <c r="B57" s="8" t="s">
        <v>13</v>
      </c>
      <c r="E57" t="s">
        <v>21</v>
      </c>
      <c r="J57" s="10" t="s">
        <v>1</v>
      </c>
      <c r="K57" s="10" t="s">
        <v>2</v>
      </c>
    </row>
    <row r="58" spans="1:19" x14ac:dyDescent="0.3">
      <c r="J58" s="2">
        <v>-3</v>
      </c>
      <c r="K58" s="2">
        <f>J58^3 - J58^2*EXP(-0.5*J58) - 3*J58 + 1</f>
        <v>-57.335201633042573</v>
      </c>
    </row>
    <row r="59" spans="1:19" x14ac:dyDescent="0.3">
      <c r="J59" s="2">
        <v>-2</v>
      </c>
      <c r="K59" s="20">
        <f t="shared" ref="K59:K64" si="14">J59^3 - J59^2*EXP(-0.5*J59) - 3*J59 + 1</f>
        <v>-11.873127313836179</v>
      </c>
    </row>
    <row r="60" spans="1:19" x14ac:dyDescent="0.3">
      <c r="J60" s="2">
        <v>-1</v>
      </c>
      <c r="K60" s="20">
        <f t="shared" si="14"/>
        <v>1.3512787292998718</v>
      </c>
    </row>
    <row r="61" spans="1:19" x14ac:dyDescent="0.3">
      <c r="J61" s="2">
        <v>0</v>
      </c>
      <c r="K61" s="21">
        <f t="shared" si="14"/>
        <v>1</v>
      </c>
      <c r="L61" s="23"/>
    </row>
    <row r="62" spans="1:19" x14ac:dyDescent="0.3">
      <c r="J62" s="2">
        <v>1</v>
      </c>
      <c r="K62" s="22">
        <f t="shared" si="14"/>
        <v>-1.6065306597126332</v>
      </c>
      <c r="L62" s="23"/>
    </row>
    <row r="63" spans="1:19" x14ac:dyDescent="0.3">
      <c r="J63" s="2">
        <v>2</v>
      </c>
      <c r="K63" s="22">
        <f t="shared" si="14"/>
        <v>1.5284822353142307</v>
      </c>
    </row>
    <row r="64" spans="1:19" x14ac:dyDescent="0.3">
      <c r="G64" s="15" t="s">
        <v>15</v>
      </c>
      <c r="J64" s="2">
        <v>3</v>
      </c>
      <c r="K64" s="13">
        <f t="shared" si="14"/>
        <v>16.991828558664132</v>
      </c>
    </row>
    <row r="65" spans="3:7" x14ac:dyDescent="0.3">
      <c r="C65" s="16" t="s">
        <v>3</v>
      </c>
      <c r="D65" s="16" t="s">
        <v>1</v>
      </c>
      <c r="E65" s="16" t="s">
        <v>16</v>
      </c>
      <c r="F65" s="16" t="s">
        <v>17</v>
      </c>
      <c r="G65" s="16" t="s">
        <v>10</v>
      </c>
    </row>
    <row r="66" spans="3:7" x14ac:dyDescent="0.3">
      <c r="C66" s="2">
        <v>0</v>
      </c>
      <c r="D66" s="2">
        <v>-3</v>
      </c>
      <c r="E66" s="2">
        <f>D66^3 - D66^2*EXP(-0.5*D66) - 3*D66 + 1</f>
        <v>-57.335201633042573</v>
      </c>
      <c r="F66" s="2">
        <f>3*D66^2 - EXP(-0.5*D66)*(2*D66 - 0.5*D66^2) - 3</f>
        <v>71.057735238549668</v>
      </c>
      <c r="G66">
        <v>4.9999999999999998E-7</v>
      </c>
    </row>
    <row r="67" spans="3:7" x14ac:dyDescent="0.3">
      <c r="C67" s="2">
        <v>1</v>
      </c>
      <c r="D67" s="2">
        <f>D66-(E66/F66)</f>
        <v>-2.193118082914391</v>
      </c>
      <c r="E67" s="2">
        <f t="shared" ref="E67:E78" si="15">D67^3 - D67^2*EXP(-0.5*D67) - 3*D67 + 1</f>
        <v>-17.36873682054069</v>
      </c>
      <c r="F67" s="2">
        <f t="shared" ref="F67:F71" si="16">3*D67^2 - EXP(-0.5*D67)*(2*D67 - 0.5*D67^2) - 3</f>
        <v>31.760871036275816</v>
      </c>
    </row>
    <row r="68" spans="3:7" x14ac:dyDescent="0.3">
      <c r="C68" s="2">
        <v>2</v>
      </c>
      <c r="D68" s="2">
        <f t="shared" ref="D68:D71" si="17">D67-(E67/F67)</f>
        <v>-1.6462584958236306</v>
      </c>
      <c r="E68" s="2">
        <f t="shared" si="15"/>
        <v>-4.695579611095992</v>
      </c>
      <c r="F68" s="2">
        <f t="shared" si="16"/>
        <v>15.715950026804734</v>
      </c>
    </row>
    <row r="69" spans="3:7" x14ac:dyDescent="0.3">
      <c r="C69" s="2">
        <v>3</v>
      </c>
      <c r="D69" s="2">
        <f t="shared" si="17"/>
        <v>-1.3474805280210269</v>
      </c>
      <c r="E69" s="2">
        <f t="shared" si="15"/>
        <v>-0.96579646204292224</v>
      </c>
      <c r="F69" s="2">
        <f t="shared" si="16"/>
        <v>9.5142464116658445</v>
      </c>
    </row>
    <row r="70" spans="3:7" x14ac:dyDescent="0.3">
      <c r="C70" s="2">
        <v>4</v>
      </c>
      <c r="D70" s="17">
        <f t="shared" si="17"/>
        <v>-1.2459699700372946</v>
      </c>
      <c r="E70" s="2">
        <f t="shared" si="15"/>
        <v>-9.0888747944790182E-2</v>
      </c>
      <c r="F70" s="2">
        <f t="shared" si="16"/>
        <v>7.7507604388153304</v>
      </c>
    </row>
    <row r="71" spans="3:7" x14ac:dyDescent="0.3">
      <c r="C71" s="2">
        <v>5</v>
      </c>
      <c r="D71" s="2">
        <f t="shared" si="17"/>
        <v>-1.234243540267949</v>
      </c>
      <c r="E71" s="2">
        <f t="shared" si="15"/>
        <v>-1.1354366239721969E-3</v>
      </c>
      <c r="F71" s="2">
        <f t="shared" si="16"/>
        <v>7.5574589340525495</v>
      </c>
    </row>
    <row r="72" spans="3:7" x14ac:dyDescent="0.3">
      <c r="C72" s="2">
        <v>6</v>
      </c>
      <c r="D72" s="3">
        <f t="shared" ref="D72" si="18">D71-(E71/F71)</f>
        <v>-1.2340932997395015</v>
      </c>
      <c r="E72" s="2">
        <f t="shared" si="15"/>
        <v>-1.8501692800043656E-7</v>
      </c>
      <c r="F72" s="2">
        <f t="shared" ref="F72" si="19">3*D72^2 - EXP(-0.5*D72)*(2*D72 - 0.5*D72^2) - 3</f>
        <v>7.5549960487865171</v>
      </c>
    </row>
    <row r="74" spans="3:7" x14ac:dyDescent="0.3">
      <c r="C74" s="16" t="s">
        <v>3</v>
      </c>
      <c r="D74" s="16" t="s">
        <v>1</v>
      </c>
      <c r="E74" s="16" t="s">
        <v>16</v>
      </c>
      <c r="F74" s="16" t="s">
        <v>17</v>
      </c>
      <c r="G74" s="16" t="s">
        <v>10</v>
      </c>
    </row>
    <row r="75" spans="3:7" x14ac:dyDescent="0.3">
      <c r="C75" s="2">
        <v>0</v>
      </c>
      <c r="D75" s="2">
        <v>0</v>
      </c>
      <c r="E75" s="2">
        <f>D75^3 - D75^2*EXP(-0.5*D75) - 3*D75 + 1</f>
        <v>1</v>
      </c>
      <c r="F75" s="2">
        <f>3*D75^2 - EXP(-0.5*D75)*(2*D75 - 0.5*D75^2) - 3</f>
        <v>-3</v>
      </c>
      <c r="G75">
        <v>4.9999999999999998E-7</v>
      </c>
    </row>
    <row r="76" spans="3:7" x14ac:dyDescent="0.3">
      <c r="C76" s="2">
        <v>1</v>
      </c>
      <c r="D76" s="2">
        <f>D75-(E75/F75)</f>
        <v>0.33333333333333331</v>
      </c>
      <c r="E76" s="2">
        <f t="shared" si="15"/>
        <v>-5.7016487950809047E-2</v>
      </c>
      <c r="F76" s="2">
        <f t="shared" ref="F76:F78" si="20">3*D76^2 - EXP(-0.5*D76)*(2*D76 - 0.5*D76^2) - 3</f>
        <v>-3.1839610540998198</v>
      </c>
    </row>
    <row r="77" spans="3:7" x14ac:dyDescent="0.3">
      <c r="C77" s="2">
        <v>2</v>
      </c>
      <c r="D77" s="2">
        <f t="shared" ref="D77:D78" si="21">D76-(E76/F76)</f>
        <v>0.31542592586759438</v>
      </c>
      <c r="E77" s="2">
        <f t="shared" si="15"/>
        <v>1.2815252945630462E-4</v>
      </c>
      <c r="F77" s="2">
        <f t="shared" si="20"/>
        <v>-3.1978383554861312</v>
      </c>
    </row>
    <row r="78" spans="3:7" x14ac:dyDescent="0.3">
      <c r="C78" s="2">
        <v>3</v>
      </c>
      <c r="D78" s="3">
        <f t="shared" si="21"/>
        <v>0.31546600060409147</v>
      </c>
      <c r="E78" s="2">
        <f t="shared" si="15"/>
        <v>5.637309508088606E-10</v>
      </c>
      <c r="F78" s="2">
        <f t="shared" si="20"/>
        <v>-3.1978102193120295</v>
      </c>
    </row>
    <row r="81" spans="1:19" x14ac:dyDescent="0.3">
      <c r="C81" s="16" t="s">
        <v>3</v>
      </c>
      <c r="D81" s="16" t="s">
        <v>1</v>
      </c>
      <c r="E81" s="16" t="s">
        <v>16</v>
      </c>
      <c r="F81" s="16" t="s">
        <v>17</v>
      </c>
      <c r="G81" s="16" t="s">
        <v>10</v>
      </c>
    </row>
    <row r="82" spans="1:19" x14ac:dyDescent="0.3">
      <c r="C82" s="2">
        <v>0</v>
      </c>
      <c r="D82" s="2">
        <v>2</v>
      </c>
      <c r="E82" s="2">
        <f>D82^3 - D82^2*EXP(-0.5*D82) - 3*D82 + 1</f>
        <v>1.5284822353142307</v>
      </c>
      <c r="F82" s="2">
        <f>3*D82^2 - EXP(-0.5*D82)*(2*D82 - 0.5*D82^2) - 3</f>
        <v>8.2642411176571144</v>
      </c>
      <c r="G82">
        <v>4.9999999999999998E-7</v>
      </c>
    </row>
    <row r="83" spans="1:19" x14ac:dyDescent="0.3">
      <c r="C83" s="2">
        <v>1</v>
      </c>
      <c r="D83" s="2">
        <f>D82-(E82/F82)</f>
        <v>1.8150486882517836</v>
      </c>
      <c r="E83" s="2">
        <f t="shared" ref="E83:E85" si="22">D83^3 - D83^2*EXP(-0.5*D83) - 3*D83 + 1</f>
        <v>0.20499001286131691</v>
      </c>
      <c r="F83" s="2">
        <f t="shared" ref="F83:F85" si="23">3*D83^2 - EXP(-0.5*D83)*(2*D83 - 0.5*D83^2) - 3</f>
        <v>6.0830629176664601</v>
      </c>
    </row>
    <row r="84" spans="1:19" x14ac:dyDescent="0.3">
      <c r="C84" s="2">
        <v>2</v>
      </c>
      <c r="D84" s="2">
        <f t="shared" ref="D84:D85" si="24">D83-(E83/F83)</f>
        <v>1.7813502018748</v>
      </c>
      <c r="E84" s="2">
        <f t="shared" si="22"/>
        <v>6.3281530969501176E-3</v>
      </c>
      <c r="F84" s="2">
        <f t="shared" si="23"/>
        <v>5.7086780365133922</v>
      </c>
    </row>
    <row r="85" spans="1:19" x14ac:dyDescent="0.3">
      <c r="C85" s="2">
        <v>3</v>
      </c>
      <c r="D85" s="3">
        <f t="shared" si="24"/>
        <v>1.7802416872490889</v>
      </c>
      <c r="E85" s="2">
        <f t="shared" si="22"/>
        <v>6.7593588903847035E-6</v>
      </c>
      <c r="F85" s="2">
        <f t="shared" si="23"/>
        <v>5.6964839817511077</v>
      </c>
    </row>
    <row r="87" spans="1:19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93" spans="1:19" x14ac:dyDescent="0.3">
      <c r="B93" t="s">
        <v>14</v>
      </c>
      <c r="E93" t="s">
        <v>22</v>
      </c>
    </row>
    <row r="100" spans="3:7" x14ac:dyDescent="0.3">
      <c r="G100" s="15" t="s">
        <v>15</v>
      </c>
    </row>
    <row r="101" spans="3:7" x14ac:dyDescent="0.3">
      <c r="C101" s="16" t="s">
        <v>3</v>
      </c>
      <c r="D101" s="16" t="s">
        <v>1</v>
      </c>
      <c r="E101" s="16" t="s">
        <v>16</v>
      </c>
      <c r="F101" s="16" t="s">
        <v>17</v>
      </c>
      <c r="G101" s="16" t="s">
        <v>10</v>
      </c>
    </row>
    <row r="102" spans="3:7" x14ac:dyDescent="0.3">
      <c r="C102" s="2">
        <v>0</v>
      </c>
      <c r="D102" s="2">
        <v>3</v>
      </c>
      <c r="E102" s="2">
        <f>COS(D102)^2 - 0.5*D102*EXP(0.3*D102) + 5</f>
        <v>2.2906804765897588</v>
      </c>
      <c r="F102" s="2">
        <f>-2*COS(D102)*SIN(D102) - 0.5*EXP(0.3*D102)*(1 + 0.3*D102)</f>
        <v>-2.057207457400176</v>
      </c>
      <c r="G102">
        <v>4.9999999999999998E-7</v>
      </c>
    </row>
    <row r="103" spans="3:7" x14ac:dyDescent="0.3">
      <c r="C103" s="2">
        <v>1</v>
      </c>
      <c r="D103" s="2">
        <f>D102-(E102/F102)</f>
        <v>4.1134902648489504</v>
      </c>
      <c r="E103" s="2">
        <f t="shared" ref="E103:E106" si="25">COS(D103)^2 - 0.5*D103*EXP(0.3*D103) + 5</f>
        <v>-1.7473374442184539</v>
      </c>
      <c r="F103" s="2">
        <f t="shared" ref="F103:F106" si="26">-2*COS(D103)*SIN(D103) - 0.5*EXP(0.3*D103)*(1 + 0.3*D103)</f>
        <v>-4.7683302679123969</v>
      </c>
    </row>
    <row r="104" spans="3:7" x14ac:dyDescent="0.3">
      <c r="C104" s="2">
        <v>2</v>
      </c>
      <c r="D104" s="2">
        <f t="shared" ref="D104:D106" si="27">D103-(E103/F103)</f>
        <v>3.7470438683027965</v>
      </c>
      <c r="E104" s="2">
        <f t="shared" si="25"/>
        <v>-8.9650810797873071E-2</v>
      </c>
      <c r="F104" s="2">
        <f t="shared" si="26"/>
        <v>-4.2043988793151117</v>
      </c>
    </row>
    <row r="105" spans="3:7" x14ac:dyDescent="0.3">
      <c r="C105" s="2">
        <v>3</v>
      </c>
      <c r="D105" s="2">
        <f t="shared" si="27"/>
        <v>3.7257207699547927</v>
      </c>
      <c r="E105" s="2">
        <f t="shared" si="25"/>
        <v>-4.9308565697803175E-4</v>
      </c>
      <c r="F105" s="2">
        <f t="shared" si="26"/>
        <v>-4.1579116752682959</v>
      </c>
    </row>
    <row r="106" spans="3:7" x14ac:dyDescent="0.3">
      <c r="C106" s="2">
        <v>4</v>
      </c>
      <c r="D106" s="3">
        <f t="shared" si="27"/>
        <v>3.7256021802166051</v>
      </c>
      <c r="E106" s="2">
        <f t="shared" si="25"/>
        <v>-1.5565994715416309E-8</v>
      </c>
      <c r="F106" s="2">
        <f t="shared" si="26"/>
        <v>-4.1576491495827099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0318-220C-403B-A51B-261A1FE555F5}">
  <dimension ref="A7:S109"/>
  <sheetViews>
    <sheetView tabSelected="1" topLeftCell="A87" workbookViewId="0">
      <selection activeCell="H106" sqref="H106"/>
    </sheetView>
  </sheetViews>
  <sheetFormatPr baseColWidth="10" defaultRowHeight="14.4" x14ac:dyDescent="0.3"/>
  <sheetData>
    <row r="7" spans="2:10" x14ac:dyDescent="0.3">
      <c r="B7" t="s">
        <v>0</v>
      </c>
    </row>
    <row r="9" spans="2:10" x14ac:dyDescent="0.3">
      <c r="B9" s="10" t="s">
        <v>1</v>
      </c>
      <c r="C9" s="10" t="s">
        <v>2</v>
      </c>
      <c r="E9" s="18" t="s">
        <v>3</v>
      </c>
      <c r="F9" s="18" t="s">
        <v>1</v>
      </c>
      <c r="G9" s="18" t="s">
        <v>16</v>
      </c>
      <c r="H9" t="s">
        <v>23</v>
      </c>
      <c r="J9" s="19" t="s">
        <v>24</v>
      </c>
    </row>
    <row r="10" spans="2:10" x14ac:dyDescent="0.3">
      <c r="B10" s="2">
        <v>0</v>
      </c>
      <c r="C10" s="2">
        <f>B10^3-EXP(0.8*B10)-20</f>
        <v>-21</v>
      </c>
      <c r="E10" s="2">
        <v>0</v>
      </c>
      <c r="F10" s="2">
        <v>2</v>
      </c>
      <c r="G10" s="2">
        <f>F10^3-EXP(0.8*F10)-20</f>
        <v>-16.953032424395115</v>
      </c>
    </row>
    <row r="11" spans="2:10" x14ac:dyDescent="0.3">
      <c r="B11" s="2">
        <v>1</v>
      </c>
      <c r="C11" s="2">
        <f t="shared" ref="C11:C18" si="0">B11^3-EXP(0.8*B11)-20</f>
        <v>-21.225540928492467</v>
      </c>
      <c r="E11" s="2">
        <v>1</v>
      </c>
      <c r="F11" s="2">
        <v>5</v>
      </c>
      <c r="G11" s="2">
        <f t="shared" ref="G11:G16" si="1">F11^3-EXP(0.8*F11)-20</f>
        <v>50.401849966855764</v>
      </c>
    </row>
    <row r="12" spans="2:10" x14ac:dyDescent="0.3">
      <c r="B12" s="2">
        <v>2</v>
      </c>
      <c r="C12" s="2">
        <f t="shared" si="0"/>
        <v>-16.953032424395115</v>
      </c>
      <c r="E12" s="2">
        <v>2</v>
      </c>
      <c r="F12" s="2">
        <f>F11-(G11*(F10-F11)/(G10-G11))</f>
        <v>2.7550914717325932</v>
      </c>
      <c r="G12" s="2">
        <f t="shared" si="1"/>
        <v>-8.1492471856936461</v>
      </c>
    </row>
    <row r="13" spans="2:10" x14ac:dyDescent="0.3">
      <c r="B13" s="2">
        <v>3</v>
      </c>
      <c r="C13" s="11">
        <f t="shared" si="0"/>
        <v>-4.0231763806416048</v>
      </c>
      <c r="E13" s="2">
        <v>3</v>
      </c>
      <c r="F13" s="2">
        <f t="shared" ref="F13:F16" si="2">F12-(G12*(F11-F12)/(G11-G12))</f>
        <v>3.0675418850606082</v>
      </c>
      <c r="G13" s="2">
        <f t="shared" si="1"/>
        <v>-2.7701866298233746</v>
      </c>
    </row>
    <row r="14" spans="2:10" x14ac:dyDescent="0.3">
      <c r="B14" s="2">
        <v>4</v>
      </c>
      <c r="C14" s="11">
        <f t="shared" si="0"/>
        <v>19.467469802890648</v>
      </c>
      <c r="E14" s="2">
        <v>4</v>
      </c>
      <c r="F14" s="2">
        <f t="shared" si="2"/>
        <v>3.2284521310959438</v>
      </c>
      <c r="G14" s="2">
        <f t="shared" si="1"/>
        <v>0.41620879386459819</v>
      </c>
    </row>
    <row r="15" spans="2:10" x14ac:dyDescent="0.3">
      <c r="B15" s="2">
        <v>5</v>
      </c>
      <c r="C15" s="2">
        <f t="shared" si="0"/>
        <v>50.401849966855764</v>
      </c>
      <c r="E15" s="2">
        <v>5</v>
      </c>
      <c r="F15" s="2">
        <f t="shared" si="2"/>
        <v>3.2074339426674316</v>
      </c>
      <c r="G15" s="2">
        <f t="shared" si="1"/>
        <v>-1.6076171078907464E-2</v>
      </c>
    </row>
    <row r="16" spans="2:10" x14ac:dyDescent="0.3">
      <c r="B16" s="2">
        <v>6</v>
      </c>
      <c r="C16" s="2">
        <f t="shared" si="0"/>
        <v>74.489582481265032</v>
      </c>
      <c r="E16" s="2">
        <v>6</v>
      </c>
      <c r="F16" s="3">
        <f t="shared" si="2"/>
        <v>3.2082155844554814</v>
      </c>
      <c r="G16" s="2">
        <f t="shared" si="1"/>
        <v>-8.6295828893412363E-5</v>
      </c>
    </row>
    <row r="17" spans="1:19" x14ac:dyDescent="0.3">
      <c r="B17" s="2">
        <v>7</v>
      </c>
      <c r="C17" s="11">
        <f t="shared" si="0"/>
        <v>52.573592573847236</v>
      </c>
    </row>
    <row r="18" spans="1:19" x14ac:dyDescent="0.3">
      <c r="B18" s="2">
        <v>8</v>
      </c>
      <c r="C18" s="11">
        <f t="shared" si="0"/>
        <v>-109.84503787208223</v>
      </c>
    </row>
    <row r="19" spans="1:19" x14ac:dyDescent="0.3">
      <c r="E19" s="18" t="s">
        <v>3</v>
      </c>
      <c r="F19" s="18" t="s">
        <v>1</v>
      </c>
      <c r="G19" s="18" t="s">
        <v>16</v>
      </c>
      <c r="H19" t="s">
        <v>23</v>
      </c>
      <c r="J19" s="19" t="s">
        <v>24</v>
      </c>
    </row>
    <row r="20" spans="1:19" x14ac:dyDescent="0.3">
      <c r="E20" s="2">
        <v>0</v>
      </c>
      <c r="F20" s="2">
        <v>7</v>
      </c>
      <c r="G20" s="2">
        <f>F20^3-EXP(0.8*F20)-20</f>
        <v>52.573592573847236</v>
      </c>
    </row>
    <row r="21" spans="1:19" x14ac:dyDescent="0.3">
      <c r="E21" s="2">
        <v>1</v>
      </c>
      <c r="F21" s="2">
        <v>8</v>
      </c>
      <c r="G21" s="2">
        <f t="shared" ref="G21:G27" si="3">F21^3-EXP(0.8*F21)-20</f>
        <v>-109.84503787208223</v>
      </c>
    </row>
    <row r="22" spans="1:19" x14ac:dyDescent="0.3">
      <c r="E22" s="2">
        <v>2</v>
      </c>
      <c r="F22" s="2">
        <f>F21-(G21*(F20-F21)/(G20-G21))</f>
        <v>7.3236918845424537</v>
      </c>
      <c r="G22" s="2">
        <f t="shared" si="3"/>
        <v>22.459621607538395</v>
      </c>
    </row>
    <row r="23" spans="1:19" x14ac:dyDescent="0.3">
      <c r="E23" s="2">
        <v>3</v>
      </c>
      <c r="F23" s="2">
        <f t="shared" ref="F23:F27" si="4">F22-(G22*(F21-F22)/(G21-G22))</f>
        <v>7.4384998166517802</v>
      </c>
      <c r="G23" s="2">
        <f t="shared" si="3"/>
        <v>7.5213043492045699</v>
      </c>
    </row>
    <row r="24" spans="1:19" x14ac:dyDescent="0.3">
      <c r="E24" s="2">
        <v>4</v>
      </c>
      <c r="F24" s="2">
        <f t="shared" si="4"/>
        <v>7.4963045468743443</v>
      </c>
      <c r="G24" s="2">
        <f t="shared" si="3"/>
        <v>-0.98617349676993626</v>
      </c>
    </row>
    <row r="25" spans="1:19" x14ac:dyDescent="0.3">
      <c r="E25" s="2">
        <v>5</v>
      </c>
      <c r="F25" s="2">
        <f t="shared" si="4"/>
        <v>7.4896039131535757</v>
      </c>
      <c r="G25" s="2">
        <f t="shared" si="3"/>
        <v>3.5648067670081218E-2</v>
      </c>
    </row>
    <row r="26" spans="1:19" x14ac:dyDescent="0.3">
      <c r="E26" s="2">
        <v>6</v>
      </c>
      <c r="F26" s="17">
        <f t="shared" si="4"/>
        <v>7.4898376767113461</v>
      </c>
      <c r="G26" s="2">
        <f t="shared" si="3"/>
        <v>1.5992364939165782E-4</v>
      </c>
    </row>
    <row r="27" spans="1:19" x14ac:dyDescent="0.3">
      <c r="E27" s="2">
        <v>7</v>
      </c>
      <c r="F27" s="3">
        <f t="shared" si="4"/>
        <v>7.4898387301426341</v>
      </c>
      <c r="G27" s="2">
        <f t="shared" si="3"/>
        <v>-2.6115685614058748E-8</v>
      </c>
    </row>
    <row r="31" spans="1:19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7" spans="2:10" x14ac:dyDescent="0.3">
      <c r="B37" s="8" t="s">
        <v>12</v>
      </c>
    </row>
    <row r="39" spans="2:10" x14ac:dyDescent="0.3">
      <c r="B39" s="10" t="s">
        <v>1</v>
      </c>
      <c r="C39" s="10" t="s">
        <v>2</v>
      </c>
      <c r="E39" s="18" t="s">
        <v>3</v>
      </c>
      <c r="F39" s="18" t="s">
        <v>1</v>
      </c>
      <c r="G39" s="18" t="s">
        <v>16</v>
      </c>
      <c r="H39" t="s">
        <v>23</v>
      </c>
      <c r="J39" s="19" t="s">
        <v>24</v>
      </c>
    </row>
    <row r="40" spans="2:10" x14ac:dyDescent="0.3">
      <c r="B40" s="2">
        <v>0</v>
      </c>
      <c r="C40" s="2">
        <f>3*SIN(0.5*B40)-0.5*B40+2</f>
        <v>2</v>
      </c>
      <c r="E40" s="2">
        <v>0</v>
      </c>
      <c r="F40" s="2">
        <v>4</v>
      </c>
      <c r="G40" s="2">
        <f>3*SIN(0.5*F40)-0.5*F40+2</f>
        <v>2.7278922804770449</v>
      </c>
    </row>
    <row r="41" spans="2:10" x14ac:dyDescent="0.3">
      <c r="B41" s="2">
        <v>1</v>
      </c>
      <c r="C41" s="2">
        <f t="shared" ref="C41:C50" si="5">3*SIN(0.5*B41)-0.5*B41+2</f>
        <v>2.938276615812609</v>
      </c>
      <c r="E41" s="2">
        <v>1</v>
      </c>
      <c r="F41" s="2">
        <v>7</v>
      </c>
      <c r="G41" s="2">
        <f t="shared" ref="G41:G44" si="6">3*SIN(0.5*F41)-0.5*F41+2</f>
        <v>-2.5523496830688597</v>
      </c>
    </row>
    <row r="42" spans="2:10" x14ac:dyDescent="0.3">
      <c r="B42" s="2">
        <v>2</v>
      </c>
      <c r="C42" s="2">
        <f t="shared" si="5"/>
        <v>3.5244129544236893</v>
      </c>
      <c r="E42" s="2">
        <v>2</v>
      </c>
      <c r="F42" s="2">
        <f>F41-(G41*(F40-F41)/(G40-G41))</f>
        <v>5.5498677708200042</v>
      </c>
      <c r="G42" s="2">
        <f t="shared" si="6"/>
        <v>0.30056100697703059</v>
      </c>
    </row>
    <row r="43" spans="2:10" x14ac:dyDescent="0.3">
      <c r="B43" s="2">
        <v>3</v>
      </c>
      <c r="C43" s="2">
        <f t="shared" si="5"/>
        <v>3.4924849598121632</v>
      </c>
      <c r="E43" s="2">
        <v>3</v>
      </c>
      <c r="F43" s="2">
        <f t="shared" ref="F43:F44" si="7">F42-(G42*(F41-F42)/(G41-G42))</f>
        <v>5.7026426910349706</v>
      </c>
      <c r="G43" s="2">
        <f t="shared" si="6"/>
        <v>7.3152361108648201E-3</v>
      </c>
    </row>
    <row r="44" spans="2:10" x14ac:dyDescent="0.3">
      <c r="B44" s="2">
        <v>4</v>
      </c>
      <c r="C44" s="2">
        <f t="shared" si="5"/>
        <v>2.7278922804770449</v>
      </c>
      <c r="E44" s="2">
        <v>4</v>
      </c>
      <c r="F44" s="3">
        <f t="shared" si="7"/>
        <v>5.706453776220922</v>
      </c>
      <c r="G44" s="2">
        <f t="shared" si="6"/>
        <v>-6.9341914823439765E-5</v>
      </c>
    </row>
    <row r="45" spans="2:10" x14ac:dyDescent="0.3">
      <c r="B45" s="2">
        <v>5</v>
      </c>
      <c r="C45" s="11">
        <f t="shared" si="5"/>
        <v>1.2954164323118698</v>
      </c>
    </row>
    <row r="46" spans="2:10" x14ac:dyDescent="0.3">
      <c r="B46" s="2">
        <v>6</v>
      </c>
      <c r="C46" s="11">
        <f t="shared" si="5"/>
        <v>-0.57663997582039839</v>
      </c>
    </row>
    <row r="47" spans="2:10" x14ac:dyDescent="0.3">
      <c r="B47" s="2">
        <v>7</v>
      </c>
      <c r="C47" s="2">
        <f t="shared" si="5"/>
        <v>-2.5523496830688597</v>
      </c>
    </row>
    <row r="48" spans="2:10" x14ac:dyDescent="0.3">
      <c r="B48" s="2">
        <v>8</v>
      </c>
      <c r="C48" s="2">
        <f t="shared" si="5"/>
        <v>-4.2704074859237844</v>
      </c>
    </row>
    <row r="49" spans="1:19" x14ac:dyDescent="0.3">
      <c r="B49" s="2">
        <v>9</v>
      </c>
      <c r="C49" s="2">
        <f t="shared" si="5"/>
        <v>-5.432590352995291</v>
      </c>
    </row>
    <row r="50" spans="1:19" x14ac:dyDescent="0.3">
      <c r="B50" s="2">
        <v>10</v>
      </c>
      <c r="C50" s="2">
        <f t="shared" si="5"/>
        <v>-5.8767728239894153</v>
      </c>
    </row>
    <row r="53" spans="1:19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60" spans="1:19" x14ac:dyDescent="0.3">
      <c r="A60" s="8" t="s">
        <v>13</v>
      </c>
    </row>
    <row r="62" spans="1:19" x14ac:dyDescent="0.3">
      <c r="B62" s="10" t="s">
        <v>1</v>
      </c>
      <c r="C62" s="10" t="s">
        <v>2</v>
      </c>
      <c r="E62" s="18" t="s">
        <v>3</v>
      </c>
      <c r="F62" s="18" t="s">
        <v>1</v>
      </c>
      <c r="G62" s="18" t="s">
        <v>16</v>
      </c>
      <c r="H62" t="s">
        <v>23</v>
      </c>
      <c r="J62" s="19" t="s">
        <v>24</v>
      </c>
    </row>
    <row r="63" spans="1:19" x14ac:dyDescent="0.3">
      <c r="B63" s="2">
        <v>-3</v>
      </c>
      <c r="C63" s="2">
        <f>B63^3 - B63^2*EXP(-0.5*B63) - 3*B63 + 1</f>
        <v>-57.335201633042573</v>
      </c>
      <c r="E63" s="2">
        <v>0</v>
      </c>
      <c r="F63" s="2">
        <v>-3</v>
      </c>
      <c r="G63" s="2">
        <f>F63^3-F63^2*EXP(-0.5*F63)-3*F63+1</f>
        <v>-57.335201633042573</v>
      </c>
    </row>
    <row r="64" spans="1:19" x14ac:dyDescent="0.3">
      <c r="B64" s="2">
        <v>-2</v>
      </c>
      <c r="C64" s="20">
        <f t="shared" ref="C64:C69" si="8">B64^3 - B64^2*EXP(-0.5*B64) - 3*B64 + 1</f>
        <v>-11.873127313836179</v>
      </c>
      <c r="E64" s="2">
        <v>1</v>
      </c>
      <c r="F64" s="2">
        <v>-1</v>
      </c>
      <c r="G64" s="2">
        <f t="shared" ref="G64:G69" si="9">F64^3-F64^2*EXP(-0.5*F64)-3*F64+1</f>
        <v>1.3512787292998718</v>
      </c>
    </row>
    <row r="65" spans="2:10" x14ac:dyDescent="0.3">
      <c r="B65" s="2">
        <v>-1</v>
      </c>
      <c r="C65" s="20">
        <f t="shared" si="8"/>
        <v>1.3512787292998718</v>
      </c>
      <c r="E65" s="2">
        <v>2</v>
      </c>
      <c r="F65" s="2">
        <f>F64-(G64*(F63-F64)/(G63-G64))</f>
        <v>-1.0460507674325261</v>
      </c>
      <c r="G65" s="2">
        <f t="shared" si="9"/>
        <v>1.1474516263649224</v>
      </c>
    </row>
    <row r="66" spans="2:10" x14ac:dyDescent="0.3">
      <c r="B66" s="2">
        <v>0</v>
      </c>
      <c r="C66" s="21">
        <f t="shared" si="8"/>
        <v>1</v>
      </c>
      <c r="D66" s="23"/>
      <c r="E66" s="2">
        <v>3</v>
      </c>
      <c r="F66" s="2">
        <f t="shared" ref="F66:F70" si="10">F65-(G65*(F64-F65)/(G64-G65))</f>
        <v>-1.3052951329998908</v>
      </c>
      <c r="G66" s="2">
        <f t="shared" si="9"/>
        <v>-0.58041233045777529</v>
      </c>
    </row>
    <row r="67" spans="2:10" x14ac:dyDescent="0.3">
      <c r="B67" s="2">
        <v>1</v>
      </c>
      <c r="C67" s="22">
        <f t="shared" si="8"/>
        <v>-1.6065306597126332</v>
      </c>
      <c r="D67" s="23"/>
      <c r="E67" s="2">
        <v>4</v>
      </c>
      <c r="F67" s="17">
        <f t="shared" si="10"/>
        <v>-1.2182115256459343</v>
      </c>
      <c r="G67" s="2">
        <f t="shared" si="9"/>
        <v>0.11792952127408096</v>
      </c>
    </row>
    <row r="68" spans="2:10" x14ac:dyDescent="0.3">
      <c r="B68" s="2">
        <v>2</v>
      </c>
      <c r="C68" s="22">
        <f t="shared" si="8"/>
        <v>1.5284822353142307</v>
      </c>
      <c r="E68" s="2">
        <v>4</v>
      </c>
      <c r="F68" s="17">
        <f t="shared" si="10"/>
        <v>-1.2329174008567694</v>
      </c>
      <c r="G68" s="2">
        <f t="shared" si="9"/>
        <v>8.8723977723477176E-3</v>
      </c>
    </row>
    <row r="69" spans="2:10" x14ac:dyDescent="0.3">
      <c r="B69" s="2">
        <v>3</v>
      </c>
      <c r="C69" s="13">
        <f t="shared" si="8"/>
        <v>16.991828558664132</v>
      </c>
      <c r="E69" s="2">
        <v>4</v>
      </c>
      <c r="F69" s="17">
        <f t="shared" si="10"/>
        <v>-1.2341138048171119</v>
      </c>
      <c r="G69" s="2">
        <f t="shared" si="9"/>
        <v>-1.5510424330900108E-4</v>
      </c>
    </row>
    <row r="70" spans="2:10" x14ac:dyDescent="0.3">
      <c r="E70" s="2">
        <v>4</v>
      </c>
      <c r="F70" s="3">
        <f t="shared" si="10"/>
        <v>-1.2340932490387095</v>
      </c>
      <c r="G70" s="2">
        <f>F70^3-F70^2*EXP(-0.5*F70)-3*F70+1</f>
        <v>1.9802733408624817E-7</v>
      </c>
    </row>
    <row r="73" spans="2:10" x14ac:dyDescent="0.3">
      <c r="E73" s="18" t="s">
        <v>3</v>
      </c>
      <c r="F73" s="18" t="s">
        <v>1</v>
      </c>
      <c r="G73" s="18" t="s">
        <v>16</v>
      </c>
      <c r="H73" t="s">
        <v>23</v>
      </c>
      <c r="J73" s="19" t="s">
        <v>24</v>
      </c>
    </row>
    <row r="74" spans="2:10" x14ac:dyDescent="0.3">
      <c r="E74" s="2">
        <v>0</v>
      </c>
      <c r="F74" s="2">
        <v>-1</v>
      </c>
      <c r="G74" s="2">
        <f>F74^3-F74^2*EXP(-0.5*F74)-3*F74+1</f>
        <v>1.3512787292998718</v>
      </c>
    </row>
    <row r="75" spans="2:10" x14ac:dyDescent="0.3">
      <c r="E75" s="2">
        <v>1</v>
      </c>
      <c r="F75" s="2">
        <v>0.5</v>
      </c>
      <c r="G75" s="2">
        <f t="shared" ref="G75:G78" si="11">F75^3-F75^2*EXP(-0.5*F75)-3*F75+1</f>
        <v>-0.56970019576785114</v>
      </c>
    </row>
    <row r="76" spans="2:10" x14ac:dyDescent="0.3">
      <c r="E76" s="2">
        <v>2</v>
      </c>
      <c r="F76" s="2">
        <f>F75-(G75*(F74-F75)/(G74-G75))</f>
        <v>5.514853260472391E-2</v>
      </c>
      <c r="G76" s="2">
        <f t="shared" si="11"/>
        <v>0.83176348572295467</v>
      </c>
    </row>
    <row r="77" spans="2:10" x14ac:dyDescent="0.3">
      <c r="E77" s="2">
        <v>3</v>
      </c>
      <c r="F77" s="2">
        <f t="shared" ref="F77:F78" si="12">F76-(G76*(F75-F76)/(G75-G76))</f>
        <v>0.31916622499049241</v>
      </c>
      <c r="G77" s="2">
        <f t="shared" si="11"/>
        <v>-1.1827738309662328E-2</v>
      </c>
    </row>
    <row r="78" spans="2:10" x14ac:dyDescent="0.3">
      <c r="E78" s="2">
        <v>4</v>
      </c>
      <c r="F78" s="3">
        <f t="shared" si="12"/>
        <v>0.31546451249550911</v>
      </c>
      <c r="G78" s="2">
        <f t="shared" si="11"/>
        <v>4.7592533406470849E-6</v>
      </c>
    </row>
    <row r="81" spans="1:19" x14ac:dyDescent="0.3">
      <c r="E81" s="18" t="s">
        <v>3</v>
      </c>
      <c r="F81" s="18" t="s">
        <v>1</v>
      </c>
      <c r="G81" s="18" t="s">
        <v>16</v>
      </c>
      <c r="H81" t="s">
        <v>23</v>
      </c>
      <c r="J81" s="19" t="s">
        <v>24</v>
      </c>
    </row>
    <row r="82" spans="1:19" x14ac:dyDescent="0.3">
      <c r="E82" s="2">
        <v>0</v>
      </c>
      <c r="F82" s="2">
        <v>1</v>
      </c>
      <c r="G82" s="2">
        <f>F82^3-F82^2*EXP(-0.5*F82)-3*F82+1</f>
        <v>-1.6065306597126332</v>
      </c>
    </row>
    <row r="83" spans="1:19" x14ac:dyDescent="0.3">
      <c r="E83" s="2">
        <v>1</v>
      </c>
      <c r="F83" s="2">
        <v>2</v>
      </c>
      <c r="G83" s="2">
        <f t="shared" ref="G83:G88" si="13">F83^3-F83^2*EXP(-0.5*F83)-3*F83+1</f>
        <v>1.5284822353142307</v>
      </c>
    </row>
    <row r="84" spans="1:19" x14ac:dyDescent="0.3">
      <c r="E84" s="2">
        <v>2</v>
      </c>
      <c r="F84" s="2">
        <f>F83-(G83*(F82-F83)/(G82-G83))</f>
        <v>1.5124478633759708</v>
      </c>
      <c r="G84" s="2">
        <f t="shared" si="13"/>
        <v>-1.1514548029317089</v>
      </c>
    </row>
    <row r="85" spans="1:19" x14ac:dyDescent="0.3">
      <c r="E85" s="2">
        <v>3</v>
      </c>
      <c r="F85" s="2">
        <f t="shared" ref="F85:F89" si="14">F84-(G84*(F83-F84)/(G83-G84))</f>
        <v>1.7219282509311935</v>
      </c>
      <c r="G85" s="2">
        <f t="shared" si="13"/>
        <v>-0.31368603985038401</v>
      </c>
    </row>
    <row r="86" spans="1:19" x14ac:dyDescent="0.3">
      <c r="E86" s="2">
        <v>4</v>
      </c>
      <c r="F86" s="17">
        <f t="shared" si="14"/>
        <v>1.8003640629288087</v>
      </c>
      <c r="G86" s="2">
        <f t="shared" si="13"/>
        <v>0.11686846884061541</v>
      </c>
    </row>
    <row r="87" spans="1:19" x14ac:dyDescent="0.3">
      <c r="E87" s="2">
        <v>4</v>
      </c>
      <c r="F87" s="17">
        <f t="shared" si="14"/>
        <v>1.7790736732908026</v>
      </c>
      <c r="G87" s="2">
        <f t="shared" si="13"/>
        <v>-6.6393138449374334E-3</v>
      </c>
    </row>
    <row r="88" spans="1:19" x14ac:dyDescent="0.3">
      <c r="E88" s="2">
        <v>4</v>
      </c>
      <c r="F88" s="17">
        <f t="shared" si="14"/>
        <v>1.780218164557783</v>
      </c>
      <c r="G88" s="2">
        <f t="shared" si="13"/>
        <v>-1.2723423297789083E-4</v>
      </c>
    </row>
    <row r="89" spans="1:19" x14ac:dyDescent="0.3">
      <c r="E89" s="2">
        <v>4</v>
      </c>
      <c r="F89" s="3">
        <f t="shared" si="14"/>
        <v>1.780240525842838</v>
      </c>
      <c r="G89" s="2">
        <f>F89^3-F89^2*EXP(-0.5*F89)-3*F89+1</f>
        <v>1.4343420229323556E-7</v>
      </c>
    </row>
    <row r="91" spans="1:19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7" spans="2:10" x14ac:dyDescent="0.3">
      <c r="B97" t="s">
        <v>14</v>
      </c>
    </row>
    <row r="100" spans="2:10" x14ac:dyDescent="0.3">
      <c r="B100" s="10" t="s">
        <v>1</v>
      </c>
      <c r="C100" s="10" t="s">
        <v>2</v>
      </c>
      <c r="E100" s="18" t="s">
        <v>3</v>
      </c>
      <c r="F100" s="18" t="s">
        <v>1</v>
      </c>
      <c r="G100" s="18" t="s">
        <v>16</v>
      </c>
      <c r="H100" t="s">
        <v>23</v>
      </c>
      <c r="J100" s="19" t="s">
        <v>24</v>
      </c>
    </row>
    <row r="101" spans="2:10" x14ac:dyDescent="0.3">
      <c r="B101" s="2">
        <v>0</v>
      </c>
      <c r="C101" s="2">
        <f>COS(B101)^2 - 0.5*B101*EXP(0.3*B101) + 5</f>
        <v>6</v>
      </c>
      <c r="E101" s="2">
        <v>0</v>
      </c>
      <c r="F101" s="2">
        <v>3.5</v>
      </c>
      <c r="G101" s="2">
        <f>COS(F101^2)-0.5*F101*EXP(0.3*F101)+5</f>
        <v>0.94948139045713642</v>
      </c>
    </row>
    <row r="102" spans="2:10" x14ac:dyDescent="0.3">
      <c r="B102" s="2">
        <v>1</v>
      </c>
      <c r="C102" s="2">
        <f t="shared" ref="C102:C109" si="15">COS(B102)^2 - 0.5*B102*EXP(0.3*B102) + 5</f>
        <v>4.6169971779384271</v>
      </c>
      <c r="E102" s="2">
        <v>1</v>
      </c>
      <c r="F102" s="2">
        <v>4</v>
      </c>
      <c r="G102" s="2">
        <f t="shared" ref="G102:G106" si="16">COS(F102^2)-0.5*F102*EXP(0.3*F102)+5</f>
        <v>-2.5978933257964787</v>
      </c>
    </row>
    <row r="103" spans="2:10" x14ac:dyDescent="0.3">
      <c r="B103" s="2">
        <v>2</v>
      </c>
      <c r="C103" s="2">
        <f t="shared" si="15"/>
        <v>3.351059389177685</v>
      </c>
      <c r="E103" s="2">
        <v>2</v>
      </c>
      <c r="F103" s="2">
        <f>F102-(G102*(F101-F102)/(G101-G102))</f>
        <v>3.6338287418730721</v>
      </c>
      <c r="G103" s="2">
        <f t="shared" si="16"/>
        <v>0.3982810513839139</v>
      </c>
    </row>
    <row r="104" spans="2:10" x14ac:dyDescent="0.3">
      <c r="B104" s="2">
        <v>3</v>
      </c>
      <c r="C104" s="11">
        <f t="shared" si="15"/>
        <v>2.2906804765897588</v>
      </c>
      <c r="E104" s="2">
        <v>3</v>
      </c>
      <c r="F104" s="2">
        <f t="shared" ref="F104:F106" si="17">F103-(G103*(F102-F103)/(G102-G103))</f>
        <v>3.6825038372827752</v>
      </c>
      <c r="G104" s="2">
        <f t="shared" si="16"/>
        <v>-1.2817157290503367E-2</v>
      </c>
    </row>
    <row r="105" spans="2:10" x14ac:dyDescent="0.3">
      <c r="B105" s="2">
        <v>4</v>
      </c>
      <c r="C105" s="11">
        <f t="shared" si="15"/>
        <v>-1.212983862377401</v>
      </c>
      <c r="E105" s="2">
        <v>4</v>
      </c>
      <c r="F105" s="17">
        <f t="shared" si="17"/>
        <v>3.6809862525771444</v>
      </c>
      <c r="G105" s="2">
        <f t="shared" si="16"/>
        <v>1.3373477847649085E-3</v>
      </c>
    </row>
    <row r="106" spans="2:10" x14ac:dyDescent="0.3">
      <c r="B106" s="2">
        <v>5</v>
      </c>
      <c r="C106" s="2">
        <f t="shared" si="15"/>
        <v>-6.1237584403833871</v>
      </c>
      <c r="E106" s="2">
        <v>4</v>
      </c>
      <c r="F106" s="3">
        <f t="shared" si="17"/>
        <v>3.6811296372121758</v>
      </c>
      <c r="G106" s="2">
        <f t="shared" si="16"/>
        <v>3.2453070843985188E-6</v>
      </c>
    </row>
    <row r="107" spans="2:10" x14ac:dyDescent="0.3">
      <c r="B107" s="2">
        <v>6</v>
      </c>
      <c r="C107" s="2">
        <f t="shared" si="15"/>
        <v>-12.227015413872586</v>
      </c>
    </row>
    <row r="108" spans="2:10" x14ac:dyDescent="0.3">
      <c r="B108" s="2">
        <v>7</v>
      </c>
      <c r="C108" s="2">
        <f t="shared" si="15"/>
        <v>-23.013226084882863</v>
      </c>
    </row>
    <row r="109" spans="2:10" x14ac:dyDescent="0.3">
      <c r="B109" s="2">
        <v>8</v>
      </c>
      <c r="C109" s="2">
        <f t="shared" si="15"/>
        <v>-39.071535262728098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Biseccion</vt:lpstr>
      <vt:lpstr>Newton Raphson</vt:lpstr>
      <vt:lpstr>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Daron Augusto Baldiviezo Aillón</dc:creator>
  <cp:lastModifiedBy>Daron Augusto Baldiviezo Aillón</cp:lastModifiedBy>
  <dcterms:created xsi:type="dcterms:W3CDTF">2025-11-30T02:01:15Z</dcterms:created>
  <dcterms:modified xsi:type="dcterms:W3CDTF">2025-11-30T21:38:07Z</dcterms:modified>
</cp:coreProperties>
</file>